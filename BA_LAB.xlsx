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ruthi K\Desktop\"/>
    </mc:Choice>
  </mc:AlternateContent>
  <xr:revisionPtr revIDLastSave="0" documentId="13_ncr:1_{18498459-417B-48FA-B930-CD8F42882BE0}" xr6:coauthVersionLast="47" xr6:coauthVersionMax="47" xr10:uidLastSave="{00000000-0000-0000-0000-000000000000}"/>
  <bookViews>
    <workbookView xWindow="-110" yWindow="-110" windowWidth="19420" windowHeight="11500" firstSheet="3" activeTab="10" xr2:uid="{33E82029-DB00-4982-9032-79539837CD15}"/>
  </bookViews>
  <sheets>
    <sheet name="EX 1" sheetId="1" r:id="rId1"/>
    <sheet name="EX 2A" sheetId="2" r:id="rId2"/>
    <sheet name="EX 2B" sheetId="4" r:id="rId3"/>
    <sheet name="EX 3" sheetId="3" r:id="rId4"/>
    <sheet name="EX 4A" sheetId="5" r:id="rId5"/>
    <sheet name="EX 4B" sheetId="6" r:id="rId6"/>
    <sheet name="EX 4C" sheetId="7" r:id="rId7"/>
    <sheet name="EX 5" sheetId="8" r:id="rId8"/>
    <sheet name="EX 6" sheetId="9" r:id="rId9"/>
    <sheet name="EX 7A" sheetId="10" r:id="rId10"/>
    <sheet name="EX 7B" sheetId="11" r:id="rId11"/>
  </sheets>
  <definedNames>
    <definedName name="ExternalData_1" localSheetId="2" hidden="1">'EX 2B'!$A$1:$L$101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2" i="2" l="1"/>
  <c r="D13" i="2" s="1"/>
  <c r="D11" i="2"/>
  <c r="D10" i="2"/>
  <c r="D9" i="2"/>
  <c r="C12" i="2"/>
  <c r="C13" i="2" s="1"/>
  <c r="C11" i="2"/>
  <c r="C10" i="2"/>
  <c r="C9" i="2"/>
  <c r="D8" i="2"/>
  <c r="C8" i="2"/>
  <c r="A5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9154F60-01A9-4705-811B-F1C37003644A}" keepAlive="1" name="Query - customers-100" description="Connection to the 'customers-100' query in the workbook." type="5" refreshedVersion="8" background="1" saveData="1">
    <dbPr connection="Provider=Microsoft.Mashup.OleDb.1;Data Source=$Workbook$;Location=customers-100;Extended Properties=&quot;&quot;" command="SELECT * FROM [customers-100]"/>
  </connection>
</connections>
</file>

<file path=xl/sharedStrings.xml><?xml version="1.0" encoding="utf-8"?>
<sst xmlns="http://schemas.openxmlformats.org/spreadsheetml/2006/main" count="1285" uniqueCount="1104">
  <si>
    <t>VALUES</t>
  </si>
  <si>
    <t>AMOUNT</t>
  </si>
  <si>
    <t>AUTOFILL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</si>
  <si>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</si>
  <si>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</si>
  <si>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</si>
  <si>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</si>
  <si>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</si>
  <si>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</si>
  <si>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</si>
  <si>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</si>
  <si>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</si>
  <si>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</si>
  <si>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</si>
  <si>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</si>
  <si>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SUNDAY</t>
  </si>
  <si>
    <t>MONDAY</t>
  </si>
  <si>
    <t>TUESDAY</t>
  </si>
  <si>
    <t>WEDNESDAY</t>
  </si>
  <si>
    <t>THURSDAY</t>
  </si>
  <si>
    <t>FRIDAY</t>
  </si>
  <si>
    <t>SATURDAY</t>
  </si>
  <si>
    <t>REGNO</t>
  </si>
  <si>
    <t>NAME</t>
  </si>
  <si>
    <t>MATHS</t>
  </si>
  <si>
    <t>SCIENCE</t>
  </si>
  <si>
    <t>MAX</t>
  </si>
  <si>
    <t>MIN</t>
  </si>
  <si>
    <t>AVERAGE</t>
  </si>
  <si>
    <t>SUM</t>
  </si>
  <si>
    <t>SQRT</t>
  </si>
  <si>
    <t>ROUND</t>
  </si>
  <si>
    <t>RAM</t>
  </si>
  <si>
    <t>PRIYA</t>
  </si>
  <si>
    <t>TAMIZH</t>
  </si>
  <si>
    <t>KUMAR</t>
  </si>
  <si>
    <t>MADHU</t>
  </si>
  <si>
    <t>Index</t>
  </si>
  <si>
    <t>Customer Id</t>
  </si>
  <si>
    <t>First Name</t>
  </si>
  <si>
    <t>Last Name</t>
  </si>
  <si>
    <t>Company</t>
  </si>
  <si>
    <t>City</t>
  </si>
  <si>
    <t>Country</t>
  </si>
  <si>
    <t>Phone 1</t>
  </si>
  <si>
    <t>Phone 2</t>
  </si>
  <si>
    <t>Email</t>
  </si>
  <si>
    <t>Subscription Date</t>
  </si>
  <si>
    <t>Website</t>
  </si>
  <si>
    <t>DD37Cf93aecA6Dc</t>
  </si>
  <si>
    <t>Sheryl</t>
  </si>
  <si>
    <t>Baxter</t>
  </si>
  <si>
    <t>Rasmussen Group</t>
  </si>
  <si>
    <t>East Leonard</t>
  </si>
  <si>
    <t>Chile</t>
  </si>
  <si>
    <t>229.077.5154</t>
  </si>
  <si>
    <t>397.884.0519x718</t>
  </si>
  <si>
    <t>zunigavanessa@smith.info</t>
  </si>
  <si>
    <t>http://www.stephenson.com/</t>
  </si>
  <si>
    <t>1Ef7b82A4CAAD10</t>
  </si>
  <si>
    <t>Preston</t>
  </si>
  <si>
    <t>Lozano</t>
  </si>
  <si>
    <t>Vega-Gentry</t>
  </si>
  <si>
    <t>East Jimmychester</t>
  </si>
  <si>
    <t>Djibouti</t>
  </si>
  <si>
    <t>5153435776</t>
  </si>
  <si>
    <t>686-620-1820x944</t>
  </si>
  <si>
    <t>vmata@colon.com</t>
  </si>
  <si>
    <t>http://www.hobbs.com/</t>
  </si>
  <si>
    <t>6F94879bDAfE5a6</t>
  </si>
  <si>
    <t>Roy</t>
  </si>
  <si>
    <t>Berry</t>
  </si>
  <si>
    <t>Murillo-Perry</t>
  </si>
  <si>
    <t>Isabelborough</t>
  </si>
  <si>
    <t>Antigua and Barbuda</t>
  </si>
  <si>
    <t>+1-539-402-0259</t>
  </si>
  <si>
    <t>(496)978-3969x58947</t>
  </si>
  <si>
    <t>beckycarr@hogan.com</t>
  </si>
  <si>
    <t>http://www.lawrence.com/</t>
  </si>
  <si>
    <t>5Cef8BFA16c5e3c</t>
  </si>
  <si>
    <t>Linda</t>
  </si>
  <si>
    <t>Olsen</t>
  </si>
  <si>
    <t>Dominguez, Mcmillan and Donovan</t>
  </si>
  <si>
    <t>Bensonview</t>
  </si>
  <si>
    <t>Dominican Republic</t>
  </si>
  <si>
    <t>001-808-617-6467x12895</t>
  </si>
  <si>
    <t>+1-813-324-8756</t>
  </si>
  <si>
    <t>stanleyblackwell@benson.org</t>
  </si>
  <si>
    <t>http://www.good-lyons.com/</t>
  </si>
  <si>
    <t>053d585Ab6b3159</t>
  </si>
  <si>
    <t>Joanna</t>
  </si>
  <si>
    <t>Bender</t>
  </si>
  <si>
    <t>Martin, Lang and Andrade</t>
  </si>
  <si>
    <t>West Priscilla</t>
  </si>
  <si>
    <t>Slovakia (Slovak Republic)</t>
  </si>
  <si>
    <t>001-234-203-0635x76146</t>
  </si>
  <si>
    <t>001-199-446-3860x3486</t>
  </si>
  <si>
    <t>colinalvarado@miles.net</t>
  </si>
  <si>
    <t>https://goodwin-ingram.com/</t>
  </si>
  <si>
    <t>2d08FB17EE273F4</t>
  </si>
  <si>
    <t>Aimee</t>
  </si>
  <si>
    <t>Downs</t>
  </si>
  <si>
    <t>Steele Group</t>
  </si>
  <si>
    <t>Chavezborough</t>
  </si>
  <si>
    <t>Bosnia and Herzegovina</t>
  </si>
  <si>
    <t>(283)437-3886x88321</t>
  </si>
  <si>
    <t>999-728-1637</t>
  </si>
  <si>
    <t>louis27@gilbert.com</t>
  </si>
  <si>
    <t>http://www.berger.net/</t>
  </si>
  <si>
    <t>EA4d384DfDbBf77</t>
  </si>
  <si>
    <t>Darren</t>
  </si>
  <si>
    <t>Peck</t>
  </si>
  <si>
    <t>Lester, Woodard and Mitchell</t>
  </si>
  <si>
    <t>Lake Ana</t>
  </si>
  <si>
    <t>Pitcairn Islands</t>
  </si>
  <si>
    <t>(496)452-6181x3291</t>
  </si>
  <si>
    <t>+1-247-266-0963x4995</t>
  </si>
  <si>
    <t>tgates@cantrell.com</t>
  </si>
  <si>
    <t>https://www.le.com/</t>
  </si>
  <si>
    <t>0e04AFde9f225dE</t>
  </si>
  <si>
    <t>Brett</t>
  </si>
  <si>
    <t>Mullen</t>
  </si>
  <si>
    <t>Sanford, Davenport and Giles</t>
  </si>
  <si>
    <t>Kimport</t>
  </si>
  <si>
    <t>Bulgaria</t>
  </si>
  <si>
    <t>001-583-352-7197x297</t>
  </si>
  <si>
    <t>001-333-145-0369</t>
  </si>
  <si>
    <t>asnow@colon.com</t>
  </si>
  <si>
    <t>https://hammond-ramsey.com/</t>
  </si>
  <si>
    <t>C2dE4dEEc489ae0</t>
  </si>
  <si>
    <t>Meyers</t>
  </si>
  <si>
    <t>Browning-Simon</t>
  </si>
  <si>
    <t>Robersonstad</t>
  </si>
  <si>
    <t>Cyprus</t>
  </si>
  <si>
    <t>854-138-4911x5772</t>
  </si>
  <si>
    <t>+1-448-910-2276x729</t>
  </si>
  <si>
    <t>mariokhan@ryan-pope.org</t>
  </si>
  <si>
    <t>https://www.bullock.net/</t>
  </si>
  <si>
    <t>8C2811a503C7c5a</t>
  </si>
  <si>
    <t>Michelle</t>
  </si>
  <si>
    <t>Gallagher</t>
  </si>
  <si>
    <t>Beck-Hendrix</t>
  </si>
  <si>
    <t>Elaineberg</t>
  </si>
  <si>
    <t>Timor-Leste</t>
  </si>
  <si>
    <t>739.218.2516x459</t>
  </si>
  <si>
    <t>001-054-401-0347x617</t>
  </si>
  <si>
    <t>mdyer@escobar.net</t>
  </si>
  <si>
    <t>https://arias.com/</t>
  </si>
  <si>
    <t>216E205d6eBb815</t>
  </si>
  <si>
    <t>Carl</t>
  </si>
  <si>
    <t>Schroeder</t>
  </si>
  <si>
    <t>Oconnell, Meza and Everett</t>
  </si>
  <si>
    <t>Shannonville</t>
  </si>
  <si>
    <t>Guernsey</t>
  </si>
  <si>
    <t>637-854-0256x825</t>
  </si>
  <si>
    <t>114.336.0784x788</t>
  </si>
  <si>
    <t>kirksalas@webb.com</t>
  </si>
  <si>
    <t>https://simmons-hurley.com/</t>
  </si>
  <si>
    <t>CEDec94deE6d69B</t>
  </si>
  <si>
    <t>Jenna</t>
  </si>
  <si>
    <t>Dodson</t>
  </si>
  <si>
    <t>Hoffman, Reed and Mcclain</t>
  </si>
  <si>
    <t>East Andrea</t>
  </si>
  <si>
    <t>Vietnam</t>
  </si>
  <si>
    <t>(041)737-3846</t>
  </si>
  <si>
    <t>+1-556-888-3485x42608</t>
  </si>
  <si>
    <t>mark42@robbins.com</t>
  </si>
  <si>
    <t>http://www.douglas.net/</t>
  </si>
  <si>
    <t>e35426EbDEceaFF</t>
  </si>
  <si>
    <t>Tracey</t>
  </si>
  <si>
    <t>Mata</t>
  </si>
  <si>
    <t>Graham-Francis</t>
  </si>
  <si>
    <t>South Joannamouth</t>
  </si>
  <si>
    <t>Togo</t>
  </si>
  <si>
    <t>001-949-844-8787</t>
  </si>
  <si>
    <t>(855)713-8773</t>
  </si>
  <si>
    <t>alex56@walls.org</t>
  </si>
  <si>
    <t>http://www.beck.com/</t>
  </si>
  <si>
    <t>A08A8aF8BE9FaD4</t>
  </si>
  <si>
    <t>Kristine</t>
  </si>
  <si>
    <t>Cox</t>
  </si>
  <si>
    <t>Carpenter-Cook</t>
  </si>
  <si>
    <t>Jodyberg</t>
  </si>
  <si>
    <t>Sri Lanka</t>
  </si>
  <si>
    <t>786-284-3358x62152</t>
  </si>
  <si>
    <t>+1-315-627-1796x8074</t>
  </si>
  <si>
    <t>holdenmiranda@clarke.com</t>
  </si>
  <si>
    <t>https://www.brandt.com/</t>
  </si>
  <si>
    <t>6fEaA1b7cab7B6C</t>
  </si>
  <si>
    <t>Faith</t>
  </si>
  <si>
    <t>Lutz</t>
  </si>
  <si>
    <t>Carter-Hancock</t>
  </si>
  <si>
    <t>Burchbury</t>
  </si>
  <si>
    <t>Singapore</t>
  </si>
  <si>
    <t>(781)861-7180x8306</t>
  </si>
  <si>
    <t>207-185-3665</t>
  </si>
  <si>
    <t>cassieparrish@blevins-chapman.net</t>
  </si>
  <si>
    <t>http://stevenson.org/</t>
  </si>
  <si>
    <t>8cad0b4CBceaeec</t>
  </si>
  <si>
    <t>Miranda</t>
  </si>
  <si>
    <t>Beasley</t>
  </si>
  <si>
    <t>Singleton and Sons</t>
  </si>
  <si>
    <t>Desireeshire</t>
  </si>
  <si>
    <t>Oman</t>
  </si>
  <si>
    <t>540.085.3135x185</t>
  </si>
  <si>
    <t>+1-600-462-6432x21881</t>
  </si>
  <si>
    <t>vduncan@parks-hardy.com</t>
  </si>
  <si>
    <t>http://acosta.org/</t>
  </si>
  <si>
    <t>a5DC21AE3a21eaA</t>
  </si>
  <si>
    <t>Caroline</t>
  </si>
  <si>
    <t>Foley</t>
  </si>
  <si>
    <t>Winters-Mendoza</t>
  </si>
  <si>
    <t>West Adriennestad</t>
  </si>
  <si>
    <t>Western Sahara</t>
  </si>
  <si>
    <t>936.222.4746x9924</t>
  </si>
  <si>
    <t>001-469-948-6341x359</t>
  </si>
  <si>
    <t>holtgwendolyn@watson-davenport.com</t>
  </si>
  <si>
    <t>http://www.benson-roth.com/</t>
  </si>
  <si>
    <t>F8Aa9d6DfcBeeF8</t>
  </si>
  <si>
    <t>Greg</t>
  </si>
  <si>
    <t>Valentine LLC</t>
  </si>
  <si>
    <t>Lake Leslie</t>
  </si>
  <si>
    <t>Mozambique</t>
  </si>
  <si>
    <t>(701)087-2415</t>
  </si>
  <si>
    <t>(195)156-1861x26241</t>
  </si>
  <si>
    <t>jaredjuarez@carroll.org</t>
  </si>
  <si>
    <t>http://pitts-cherry.com/</t>
  </si>
  <si>
    <t>F160f5Db3EfE973</t>
  </si>
  <si>
    <t>Clifford</t>
  </si>
  <si>
    <t>Jacobson</t>
  </si>
  <si>
    <t>Simon LLC</t>
  </si>
  <si>
    <t>Harmonview</t>
  </si>
  <si>
    <t>South Georgia and the South Sandwich Islands</t>
  </si>
  <si>
    <t>001-151-330-3524x0469</t>
  </si>
  <si>
    <t>(748)477-7174</t>
  </si>
  <si>
    <t>joseph26@jacobson.com</t>
  </si>
  <si>
    <t>https://mcconnell.com/</t>
  </si>
  <si>
    <t>0F60FF3DdCd7aB0</t>
  </si>
  <si>
    <t>Kirk</t>
  </si>
  <si>
    <t>Mays-Mccormick</t>
  </si>
  <si>
    <t>Jamesshire</t>
  </si>
  <si>
    <t>French Polynesia</t>
  </si>
  <si>
    <t>(266)131-7001x711</t>
  </si>
  <si>
    <t>(283)312-5579x11543</t>
  </si>
  <si>
    <t>tuckerangie@salazar.net</t>
  </si>
  <si>
    <t>https://www.camacho.net/</t>
  </si>
  <si>
    <t>9F9AdB7B8A6f7F2</t>
  </si>
  <si>
    <t>Maxwell</t>
  </si>
  <si>
    <t>Frye</t>
  </si>
  <si>
    <t>Patterson Inc</t>
  </si>
  <si>
    <t>East Carly</t>
  </si>
  <si>
    <t>Malta</t>
  </si>
  <si>
    <t>423.262.3059</t>
  </si>
  <si>
    <t>202-880-0688x7491</t>
  </si>
  <si>
    <t>fgibson@drake-webb.com</t>
  </si>
  <si>
    <t>http://www.roberts.com/</t>
  </si>
  <si>
    <t>FBd0Ded4F02a742</t>
  </si>
  <si>
    <t>Kiara</t>
  </si>
  <si>
    <t>Houston</t>
  </si>
  <si>
    <t>Manning, Hester and Arroyo</t>
  </si>
  <si>
    <t>South Alvin</t>
  </si>
  <si>
    <t>Netherlands</t>
  </si>
  <si>
    <t>001-274-040-3582x10611</t>
  </si>
  <si>
    <t>+1-528-175-0973x4684</t>
  </si>
  <si>
    <t>blanchardbob@wallace-shannon.com</t>
  </si>
  <si>
    <t>https://www.reid-potts.com/</t>
  </si>
  <si>
    <t>2FB0FAA1d429421</t>
  </si>
  <si>
    <t>Colleen</t>
  </si>
  <si>
    <t>Howard</t>
  </si>
  <si>
    <t>Greer and Sons</t>
  </si>
  <si>
    <t>Brittanyview</t>
  </si>
  <si>
    <t>Paraguay</t>
  </si>
  <si>
    <t>1935085151</t>
  </si>
  <si>
    <t>(947)115-7711x5488</t>
  </si>
  <si>
    <t>rsingleton@ryan-cherry.com</t>
  </si>
  <si>
    <t>http://paul.biz/</t>
  </si>
  <si>
    <t>010468dAA11382c</t>
  </si>
  <si>
    <t>Janet</t>
  </si>
  <si>
    <t>Valenzuela</t>
  </si>
  <si>
    <t>Watts-Donaldson</t>
  </si>
  <si>
    <t>Veronicamouth</t>
  </si>
  <si>
    <t>Lao People's Democratic Republic</t>
  </si>
  <si>
    <t>354.259.5062x7538</t>
  </si>
  <si>
    <t>500.433.2022</t>
  </si>
  <si>
    <t>stefanie71@spence.com</t>
  </si>
  <si>
    <t>https://moreno.biz/</t>
  </si>
  <si>
    <t>eC1927Ca84E033e</t>
  </si>
  <si>
    <t>Shane</t>
  </si>
  <si>
    <t>Wilcox</t>
  </si>
  <si>
    <t>Tucker LLC</t>
  </si>
  <si>
    <t>Bryanville</t>
  </si>
  <si>
    <t>Albania</t>
  </si>
  <si>
    <t>(429)005-9030x11004</t>
  </si>
  <si>
    <t>541-116-4501</t>
  </si>
  <si>
    <t>mariah88@santos.com</t>
  </si>
  <si>
    <t>https://www.ramos.com/</t>
  </si>
  <si>
    <t>09D7D7C8Fe09aea</t>
  </si>
  <si>
    <t>Marcus</t>
  </si>
  <si>
    <t>Moody</t>
  </si>
  <si>
    <t>Giles Ltd</t>
  </si>
  <si>
    <t>Kaitlyntown</t>
  </si>
  <si>
    <t>Panama</t>
  </si>
  <si>
    <t>674-677-8623</t>
  </si>
  <si>
    <t>909-277-5485x566</t>
  </si>
  <si>
    <t>donnamullins@norris-barrett.org</t>
  </si>
  <si>
    <t>https://www.curry.com/</t>
  </si>
  <si>
    <t>aBdfcF2c50b0bfD</t>
  </si>
  <si>
    <t>Dakota</t>
  </si>
  <si>
    <t>Poole</t>
  </si>
  <si>
    <t>Simmons Group</t>
  </si>
  <si>
    <t>Michealshire</t>
  </si>
  <si>
    <t>Belarus</t>
  </si>
  <si>
    <t>(371)987-8576x4720</t>
  </si>
  <si>
    <t>071-152-1376</t>
  </si>
  <si>
    <t>stacey67@fields.org</t>
  </si>
  <si>
    <t>https://sanford-wilcox.biz/</t>
  </si>
  <si>
    <t>b92EBfdF8a3f0E6</t>
  </si>
  <si>
    <t>Frederick</t>
  </si>
  <si>
    <t>Harper</t>
  </si>
  <si>
    <t>Hinton, Chaney and Stokes</t>
  </si>
  <si>
    <t>South Marissatown</t>
  </si>
  <si>
    <t>Switzerland</t>
  </si>
  <si>
    <t>+1-077-121-1558x0687</t>
  </si>
  <si>
    <t>264.742.7149</t>
  </si>
  <si>
    <t>jacobkhan@bright.biz</t>
  </si>
  <si>
    <t>https://callahan.org/</t>
  </si>
  <si>
    <t>3B5dAAFA41AFa22</t>
  </si>
  <si>
    <t>Stefanie</t>
  </si>
  <si>
    <t>Fitzpatrick</t>
  </si>
  <si>
    <t>Santana-Duran</t>
  </si>
  <si>
    <t>Acevedoville</t>
  </si>
  <si>
    <t>Saint Vincent and the Grenadines</t>
  </si>
  <si>
    <t>(752)776-3286</t>
  </si>
  <si>
    <t>+1-472-021-4814x85074</t>
  </si>
  <si>
    <t>wterrell@clark.com</t>
  </si>
  <si>
    <t>https://meyers.com/</t>
  </si>
  <si>
    <t>EDA69ca7a6e96a2</t>
  </si>
  <si>
    <t>Kent</t>
  </si>
  <si>
    <t>Bradshaw</t>
  </si>
  <si>
    <t>Sawyer PLC</t>
  </si>
  <si>
    <t>North Harold</t>
  </si>
  <si>
    <t>Tanzania</t>
  </si>
  <si>
    <t>+1-472-143-5037x884</t>
  </si>
  <si>
    <t>126.922.6153</t>
  </si>
  <si>
    <t>qjimenez@boyd.com</t>
  </si>
  <si>
    <t>http://maynard-ho.com/</t>
  </si>
  <si>
    <t>64DCcDFaB9DFd4e</t>
  </si>
  <si>
    <t>Jack</t>
  </si>
  <si>
    <t>Tate</t>
  </si>
  <si>
    <t>Acosta, Petersen and Morrow</t>
  </si>
  <si>
    <t>West Samuel</t>
  </si>
  <si>
    <t>Zimbabwe</t>
  </si>
  <si>
    <t>965-108-4406x20714</t>
  </si>
  <si>
    <t>046.906.1442x6784</t>
  </si>
  <si>
    <t>gfigueroa@boone-zavala.com</t>
  </si>
  <si>
    <t>http://www.hawkins-ramsey.com/</t>
  </si>
  <si>
    <t>679c6c83DD872d6</t>
  </si>
  <si>
    <t>Tom</t>
  </si>
  <si>
    <t>Trujillo</t>
  </si>
  <si>
    <t>Mcgee Group</t>
  </si>
  <si>
    <t>Cunninghamborough</t>
  </si>
  <si>
    <t>Denmark</t>
  </si>
  <si>
    <t>416-338-3758</t>
  </si>
  <si>
    <t>(775)890-7209</t>
  </si>
  <si>
    <t>tapiagreg@beard.info</t>
  </si>
  <si>
    <t>http://www.daniels-klein.com/</t>
  </si>
  <si>
    <t>7Ce381e4Afa4ba9</t>
  </si>
  <si>
    <t>Gabriel</t>
  </si>
  <si>
    <t>Mejia</t>
  </si>
  <si>
    <t>Adkins-Salinas</t>
  </si>
  <si>
    <t>Port Annatown</t>
  </si>
  <si>
    <t>Liechtenstein</t>
  </si>
  <si>
    <t>4077245425</t>
  </si>
  <si>
    <t>646.044.0696x66800</t>
  </si>
  <si>
    <t>coleolson@jennings.net</t>
  </si>
  <si>
    <t>https://patel-hanson.info/</t>
  </si>
  <si>
    <t>A09AEc6E3bF70eE</t>
  </si>
  <si>
    <t>Kaitlyn</t>
  </si>
  <si>
    <t>Santana</t>
  </si>
  <si>
    <t>Herrera Group</t>
  </si>
  <si>
    <t>New Kaitlyn</t>
  </si>
  <si>
    <t>United States of America</t>
  </si>
  <si>
    <t>6303643286</t>
  </si>
  <si>
    <t>447-710-6202x07313</t>
  </si>
  <si>
    <t>georgeross@miles.org</t>
  </si>
  <si>
    <t>http://pham.com/</t>
  </si>
  <si>
    <t>aA9BAFfBc3710fe</t>
  </si>
  <si>
    <t>Moon</t>
  </si>
  <si>
    <t>Waters, Chase and Aguilar</t>
  </si>
  <si>
    <t>West Marthaburgh</t>
  </si>
  <si>
    <t>Bahamas</t>
  </si>
  <si>
    <t>+1-586-217-0359x6317</t>
  </si>
  <si>
    <t>+1-818-199-1403</t>
  </si>
  <si>
    <t>willistonya@randolph-baker.com</t>
  </si>
  <si>
    <t>https://spencer-charles.info/</t>
  </si>
  <si>
    <t>E11dfb2DB8C9f72</t>
  </si>
  <si>
    <t>Tammie</t>
  </si>
  <si>
    <t>Haley</t>
  </si>
  <si>
    <t>Palmer, Barnes and Houston</t>
  </si>
  <si>
    <t>East Teresa</t>
  </si>
  <si>
    <t>Belize</t>
  </si>
  <si>
    <t>001-276-734-4113x6087</t>
  </si>
  <si>
    <t>(430)300-8770</t>
  </si>
  <si>
    <t>harrisisaiah@jenkins.com</t>
  </si>
  <si>
    <t>http://evans-simon.com/</t>
  </si>
  <si>
    <t>889eCf90f68c5Da</t>
  </si>
  <si>
    <t>Nicholas</t>
  </si>
  <si>
    <t>Sosa</t>
  </si>
  <si>
    <t>Jordan Ltd</t>
  </si>
  <si>
    <t>South Hunter</t>
  </si>
  <si>
    <t>Uruguay</t>
  </si>
  <si>
    <t>(661)425-6042</t>
  </si>
  <si>
    <t>975-998-1519</t>
  </si>
  <si>
    <t>fwolfe@dorsey.com</t>
  </si>
  <si>
    <t>https://www.fleming-richards.com/</t>
  </si>
  <si>
    <t>7a1Ee69F4fF4B4D</t>
  </si>
  <si>
    <t>Jordan</t>
  </si>
  <si>
    <t>Gay</t>
  </si>
  <si>
    <t>Glover and Sons</t>
  </si>
  <si>
    <t>South Walter</t>
  </si>
  <si>
    <t>Solomon Islands</t>
  </si>
  <si>
    <t>7208417020</t>
  </si>
  <si>
    <t>8035336772</t>
  </si>
  <si>
    <t>tiffanydavies@harris-mcfarland.org</t>
  </si>
  <si>
    <t>http://www.lee.org/</t>
  </si>
  <si>
    <t>dca4f1D0A0fc5c9</t>
  </si>
  <si>
    <t>Bruce</t>
  </si>
  <si>
    <t>Esparza</t>
  </si>
  <si>
    <t>Huerta-Mclean</t>
  </si>
  <si>
    <t>Poolefurt</t>
  </si>
  <si>
    <t>Montenegro</t>
  </si>
  <si>
    <t>559-529-4424</t>
  </si>
  <si>
    <t>001-625-000-7132x0367</t>
  </si>
  <si>
    <t>preese@frye-vega.com</t>
  </si>
  <si>
    <t>http://www.farley.org/</t>
  </si>
  <si>
    <t>17aD8e2dB3df03D</t>
  </si>
  <si>
    <t>Sherry</t>
  </si>
  <si>
    <t>Garza</t>
  </si>
  <si>
    <t>Anderson Ltd</t>
  </si>
  <si>
    <t>West John</t>
  </si>
  <si>
    <t>Poland</t>
  </si>
  <si>
    <t>001-067-713-6440x158</t>
  </si>
  <si>
    <t>(978)289-8785x5766</t>
  </si>
  <si>
    <t>ann48@miller.com</t>
  </si>
  <si>
    <t>http://spence.com/</t>
  </si>
  <si>
    <t>2f79Cd309624Abb</t>
  </si>
  <si>
    <t>Natalie</t>
  </si>
  <si>
    <t>Gentry</t>
  </si>
  <si>
    <t>Monroe PLC</t>
  </si>
  <si>
    <t>West Darius</t>
  </si>
  <si>
    <t>830.996.8238</t>
  </si>
  <si>
    <t>499.122.5415</t>
  </si>
  <si>
    <t>tcummings@fitzpatrick-ashley.com</t>
  </si>
  <si>
    <t>http://www.dorsey.biz/</t>
  </si>
  <si>
    <t>6e5ad5a5e2bB5Ca</t>
  </si>
  <si>
    <t>Bryan</t>
  </si>
  <si>
    <t>Dunn</t>
  </si>
  <si>
    <t>Kaufman and Sons</t>
  </si>
  <si>
    <t>North Jimstad</t>
  </si>
  <si>
    <t>Burkina Faso</t>
  </si>
  <si>
    <t>001-710-802-5565</t>
  </si>
  <si>
    <t>078.699.8982x13881</t>
  </si>
  <si>
    <t>woodwardandres@phelps.com</t>
  </si>
  <si>
    <t>http://www.butler.com/</t>
  </si>
  <si>
    <t>7E441b6B228DBcA</t>
  </si>
  <si>
    <t>Wayne</t>
  </si>
  <si>
    <t>Simpson</t>
  </si>
  <si>
    <t>Perkins-Trevino</t>
  </si>
  <si>
    <t>East Rebekahborough</t>
  </si>
  <si>
    <t>Bolivia</t>
  </si>
  <si>
    <t>(344)156-8632x1869</t>
  </si>
  <si>
    <t>463-445-3702x38463</t>
  </si>
  <si>
    <t>barbarapittman@holder.com</t>
  </si>
  <si>
    <t>https://gillespie-holder.com/</t>
  </si>
  <si>
    <t>D3fC11A9C235Dc6</t>
  </si>
  <si>
    <t>Luis</t>
  </si>
  <si>
    <t>Greer</t>
  </si>
  <si>
    <t>Cross PLC</t>
  </si>
  <si>
    <t>North Drew</t>
  </si>
  <si>
    <t>001-336-025-6849x701</t>
  </si>
  <si>
    <t>684.698.2911x6092</t>
  </si>
  <si>
    <t>bstuart@williamson-mcclure.com</t>
  </si>
  <si>
    <t>https://fletcher-nielsen.com/</t>
  </si>
  <si>
    <t>30Dfa48fe5Ede78</t>
  </si>
  <si>
    <t>Rhonda</t>
  </si>
  <si>
    <t>Frost</t>
  </si>
  <si>
    <t>Herrera, Shepherd and Underwood</t>
  </si>
  <si>
    <t>Lake Lindaburgh</t>
  </si>
  <si>
    <t>Monaco</t>
  </si>
  <si>
    <t>(127)081-9339</t>
  </si>
  <si>
    <t>+1-431-028-3337x3492</t>
  </si>
  <si>
    <t>zkrueger@wolf-chavez.net</t>
  </si>
  <si>
    <t>http://www.khan.com/</t>
  </si>
  <si>
    <t>fD780ED8dbEae7B</t>
  </si>
  <si>
    <t>Joanne</t>
  </si>
  <si>
    <t>Montes</t>
  </si>
  <si>
    <t>Price, Sexton and Mcdaniel</t>
  </si>
  <si>
    <t>Gwendolynview</t>
  </si>
  <si>
    <t>Palau</t>
  </si>
  <si>
    <t>(897)726-7952</t>
  </si>
  <si>
    <t>(467)886-9467x5721</t>
  </si>
  <si>
    <t>juan80@henson.net</t>
  </si>
  <si>
    <t>http://ochoa.com/</t>
  </si>
  <si>
    <t>300A40d3ce24bBA</t>
  </si>
  <si>
    <t>Geoffrey</t>
  </si>
  <si>
    <t>Guzman</t>
  </si>
  <si>
    <t>Short-Wiggins</t>
  </si>
  <si>
    <t>Zimmermanland</t>
  </si>
  <si>
    <t>Uzbekistan</t>
  </si>
  <si>
    <t>975.235.8921x269</t>
  </si>
  <si>
    <t>(983)188-6873</t>
  </si>
  <si>
    <t>bauercrystal@gay.com</t>
  </si>
  <si>
    <t>https://decker-kline.com/</t>
  </si>
  <si>
    <t>283DFCD0Dba40aF</t>
  </si>
  <si>
    <t>Gloria</t>
  </si>
  <si>
    <t>Mccall</t>
  </si>
  <si>
    <t>Brennan, Acosta and Ramos</t>
  </si>
  <si>
    <t>North Kerriton</t>
  </si>
  <si>
    <t>Ghana</t>
  </si>
  <si>
    <t>445-603-6729</t>
  </si>
  <si>
    <t>001-395-959-4736x4524</t>
  </si>
  <si>
    <t>bartlettjenna@zuniga-moss.biz</t>
  </si>
  <si>
    <t>http://burgess-frank.com/</t>
  </si>
  <si>
    <t>F4Fc91fEAEad286</t>
  </si>
  <si>
    <t>Brady</t>
  </si>
  <si>
    <t>Cohen</t>
  </si>
  <si>
    <t>Osborne-Erickson</t>
  </si>
  <si>
    <t>North Eileenville</t>
  </si>
  <si>
    <t>United Arab Emirates</t>
  </si>
  <si>
    <t>741.849.0139x524</t>
  </si>
  <si>
    <t>+1-028-691-7497x0894</t>
  </si>
  <si>
    <t>mccalltyrone@durham-rose.biz</t>
  </si>
  <si>
    <t>http://hammond-barron.com/</t>
  </si>
  <si>
    <t>80F33Fd2AcebF05</t>
  </si>
  <si>
    <t>Latoya</t>
  </si>
  <si>
    <t>Mccann</t>
  </si>
  <si>
    <t>Hobbs, Garrett and Sanford</t>
  </si>
  <si>
    <t>Port Sergiofort</t>
  </si>
  <si>
    <t>(530)287-4548x29481</t>
  </si>
  <si>
    <t>162-234-0249x32790</t>
  </si>
  <si>
    <t>bobhammond@barry.biz</t>
  </si>
  <si>
    <t>https://www.burton.com/</t>
  </si>
  <si>
    <t>Aa20BDe68eAb0e9</t>
  </si>
  <si>
    <t>Gerald</t>
  </si>
  <si>
    <t>Hawkins</t>
  </si>
  <si>
    <t>Phelps, Forbes and Koch</t>
  </si>
  <si>
    <t>New Alberttown</t>
  </si>
  <si>
    <t>Canada</t>
  </si>
  <si>
    <t>+1-323-239-1456x96168</t>
  </si>
  <si>
    <t>(092)508-0269</t>
  </si>
  <si>
    <t>uwarner@steele-arias.com</t>
  </si>
  <si>
    <t>https://valenzuela.com/</t>
  </si>
  <si>
    <t>e898eEB1B9FE22b</t>
  </si>
  <si>
    <t>Samuel</t>
  </si>
  <si>
    <t>Crawford</t>
  </si>
  <si>
    <t>May, Goodwin and Martin</t>
  </si>
  <si>
    <t>South Jasmine</t>
  </si>
  <si>
    <t>Algeria</t>
  </si>
  <si>
    <t>802-242-7457</t>
  </si>
  <si>
    <t>626.116.9535x8578</t>
  </si>
  <si>
    <t>xpittman@ritter-carney.net</t>
  </si>
  <si>
    <t>https://guerrero.org/</t>
  </si>
  <si>
    <t>faCEF517ae7D8eB</t>
  </si>
  <si>
    <t>Patricia</t>
  </si>
  <si>
    <t>Goodwin</t>
  </si>
  <si>
    <t>Christian, Winters and Ellis</t>
  </si>
  <si>
    <t>Cowanfort</t>
  </si>
  <si>
    <t>Swaziland</t>
  </si>
  <si>
    <t>322.549.7139x70040</t>
  </si>
  <si>
    <t>(111)741-4173</t>
  </si>
  <si>
    <t>vaughanchristy@lara.biz</t>
  </si>
  <si>
    <t>http://clark.info/</t>
  </si>
  <si>
    <t>c09952De6Cda8aA</t>
  </si>
  <si>
    <t>Stacie</t>
  </si>
  <si>
    <t>Richard</t>
  </si>
  <si>
    <t>Byrd Inc</t>
  </si>
  <si>
    <t>New Deborah</t>
  </si>
  <si>
    <t>Madagascar</t>
  </si>
  <si>
    <t>001-622-948-3641x24810</t>
  </si>
  <si>
    <t>001-731-168-2893x8891</t>
  </si>
  <si>
    <t>clinton85@colon-arias.org</t>
  </si>
  <si>
    <t>https://kim.com/</t>
  </si>
  <si>
    <t>f3BEf3Be028166f</t>
  </si>
  <si>
    <t>Robin</t>
  </si>
  <si>
    <t>West</t>
  </si>
  <si>
    <t>Nixon, Blackwell and Sosa</t>
  </si>
  <si>
    <t>Wallstown</t>
  </si>
  <si>
    <t>Ecuador</t>
  </si>
  <si>
    <t>698.303.4267</t>
  </si>
  <si>
    <t>001-683-837-7651x525</t>
  </si>
  <si>
    <t>greenemiranda@zimmerman.com</t>
  </si>
  <si>
    <t>https://www.mora.com/</t>
  </si>
  <si>
    <t>C6F2Fc6a7948a4e</t>
  </si>
  <si>
    <t>Ralph</t>
  </si>
  <si>
    <t>Haas</t>
  </si>
  <si>
    <t>Montes PLC</t>
  </si>
  <si>
    <t>Lake Ellenchester</t>
  </si>
  <si>
    <t>Palestinian Territory</t>
  </si>
  <si>
    <t>2239271999</t>
  </si>
  <si>
    <t>001-962-434-0867x649</t>
  </si>
  <si>
    <t>goodmancesar@figueroa.biz</t>
  </si>
  <si>
    <t>http://may.com/</t>
  </si>
  <si>
    <t>c8FE57cBBdCDcb2</t>
  </si>
  <si>
    <t>Phyllis</t>
  </si>
  <si>
    <t>Maldonado</t>
  </si>
  <si>
    <t>Costa PLC</t>
  </si>
  <si>
    <t>Lake Whitney</t>
  </si>
  <si>
    <t>Saint Barthelemy</t>
  </si>
  <si>
    <t>4500370767</t>
  </si>
  <si>
    <t>001-508-064-6725x017</t>
  </si>
  <si>
    <t>yhanson@warner-diaz.org</t>
  </si>
  <si>
    <t>http://www.bernard.com/</t>
  </si>
  <si>
    <t>B5acdFC982124F2</t>
  </si>
  <si>
    <t>Danny</t>
  </si>
  <si>
    <t>Parrish</t>
  </si>
  <si>
    <t>Novak LLC</t>
  </si>
  <si>
    <t>East Jaredbury</t>
  </si>
  <si>
    <t>(669)384-8597x8794</t>
  </si>
  <si>
    <t>506.731.5952x571</t>
  </si>
  <si>
    <t>howelldarren@house-cohen.com</t>
  </si>
  <si>
    <t>http://www.parsons-hudson.com/</t>
  </si>
  <si>
    <t>8c7DdF10798bCC3</t>
  </si>
  <si>
    <t>Kathy</t>
  </si>
  <si>
    <t>Hill</t>
  </si>
  <si>
    <t>Moore, Mccoy and Glass</t>
  </si>
  <si>
    <t>Selenabury</t>
  </si>
  <si>
    <t>001-171-716-2175x310</t>
  </si>
  <si>
    <t>888.625.0654</t>
  </si>
  <si>
    <t>ncamacho@boone-simmons.org</t>
  </si>
  <si>
    <t>http://hayden.com/</t>
  </si>
  <si>
    <t>C681dDd0cc422f7</t>
  </si>
  <si>
    <t>Kelli</t>
  </si>
  <si>
    <t>Hardy</t>
  </si>
  <si>
    <t>Petty Ltd</t>
  </si>
  <si>
    <t>Huangfort</t>
  </si>
  <si>
    <t>Sao Tome and Principe</t>
  </si>
  <si>
    <t>020.324.2191x2022</t>
  </si>
  <si>
    <t>424-157-8216</t>
  </si>
  <si>
    <t>kristopher62@oliver.com</t>
  </si>
  <si>
    <t>http://www.kidd.com/</t>
  </si>
  <si>
    <t>a940cE42e035F28</t>
  </si>
  <si>
    <t>Lynn</t>
  </si>
  <si>
    <t>Pham</t>
  </si>
  <si>
    <t>Brennan, Camacho and Tapia</t>
  </si>
  <si>
    <t>East Pennyshire</t>
  </si>
  <si>
    <t>Portugal</t>
  </si>
  <si>
    <t>846.468.6834x611</t>
  </si>
  <si>
    <t>001-248-691-0006</t>
  </si>
  <si>
    <t>mpham@rios-guzman.com</t>
  </si>
  <si>
    <t>https://www.murphy.com/</t>
  </si>
  <si>
    <t>9Cf5E6AFE0aeBfd</t>
  </si>
  <si>
    <t>Shelley</t>
  </si>
  <si>
    <t>Harris</t>
  </si>
  <si>
    <t>Prince, Malone and Pugh</t>
  </si>
  <si>
    <t>Port Jasminborough</t>
  </si>
  <si>
    <t>423.098.0315x8373</t>
  </si>
  <si>
    <t>+1-386-458-8944x15194</t>
  </si>
  <si>
    <t>zachary96@mitchell-bryant.org</t>
  </si>
  <si>
    <t>https://www.ryan.com/</t>
  </si>
  <si>
    <t>aEcbe5365BbC67D</t>
  </si>
  <si>
    <t>Eddie</t>
  </si>
  <si>
    <t>Jimenez</t>
  </si>
  <si>
    <t>Caldwell Group</t>
  </si>
  <si>
    <t>West Kristine</t>
  </si>
  <si>
    <t>Ethiopia</t>
  </si>
  <si>
    <t>+1-235-657-1073x6306</t>
  </si>
  <si>
    <t>(026)401-7353x2417</t>
  </si>
  <si>
    <t>kristiwhitney@bernard.com</t>
  </si>
  <si>
    <t>http://cherry.com/</t>
  </si>
  <si>
    <t>FCBdfCEAe20A8Dc</t>
  </si>
  <si>
    <t>Chloe</t>
  </si>
  <si>
    <t>Hutchinson</t>
  </si>
  <si>
    <t>South Julia</t>
  </si>
  <si>
    <t>981-544-9452</t>
  </si>
  <si>
    <t>+1-288-552-4666x060</t>
  </si>
  <si>
    <t>leah85@sutton-terrell.com</t>
  </si>
  <si>
    <t>https://mitchell.info/</t>
  </si>
  <si>
    <t>636cBF0835E10ff</t>
  </si>
  <si>
    <t>Eileen</t>
  </si>
  <si>
    <t>Lynch</t>
  </si>
  <si>
    <t>Knight, Abbott and Hubbard</t>
  </si>
  <si>
    <t>Helenborough</t>
  </si>
  <si>
    <t>Liberia</t>
  </si>
  <si>
    <t>+1-158-951-4131x53578</t>
  </si>
  <si>
    <t>001-673-779-6713x680</t>
  </si>
  <si>
    <t>levigiles@vincent.com</t>
  </si>
  <si>
    <t>http://mckay.com/</t>
  </si>
  <si>
    <t>fF1b6c9E8Fbf1ff</t>
  </si>
  <si>
    <t>Fernando</t>
  </si>
  <si>
    <t>Lambert</t>
  </si>
  <si>
    <t>Church-Banks</t>
  </si>
  <si>
    <t>Lake Nancy</t>
  </si>
  <si>
    <t>Lithuania</t>
  </si>
  <si>
    <t>497.829.9038</t>
  </si>
  <si>
    <t>3863743398</t>
  </si>
  <si>
    <t>fisherlinda@schaefer.net</t>
  </si>
  <si>
    <t>https://www.vang.com/</t>
  </si>
  <si>
    <t>2A13F74EAa7DA6c</t>
  </si>
  <si>
    <t>Makayla</t>
  </si>
  <si>
    <t>Cannon</t>
  </si>
  <si>
    <t>Henderson Inc</t>
  </si>
  <si>
    <t>Georgeport</t>
  </si>
  <si>
    <t>New Caledonia</t>
  </si>
  <si>
    <t>001-215-801-6392x46009</t>
  </si>
  <si>
    <t>027-609-6460</t>
  </si>
  <si>
    <t>scottcurtis@hurley.biz</t>
  </si>
  <si>
    <t>http://www.velazquez.net/</t>
  </si>
  <si>
    <t>a014Ec1b9FccC1E</t>
  </si>
  <si>
    <t>Alvarado</t>
  </si>
  <si>
    <t>Donaldson-Dougherty</t>
  </si>
  <si>
    <t>South Sophiaberg</t>
  </si>
  <si>
    <t>Kiribati</t>
  </si>
  <si>
    <t>(585)606-2980x2258</t>
  </si>
  <si>
    <t>730-797-3594x5614</t>
  </si>
  <si>
    <t>nicholsonnina@montgomery.info</t>
  </si>
  <si>
    <t>http://odom-massey.com/</t>
  </si>
  <si>
    <t>421a109cABDf5fa</t>
  </si>
  <si>
    <t>Virginia</t>
  </si>
  <si>
    <t>Dudley</t>
  </si>
  <si>
    <t>Warren Ltd</t>
  </si>
  <si>
    <t>Hartbury</t>
  </si>
  <si>
    <t>French Southern Territories</t>
  </si>
  <si>
    <t>027.846.3705x14184</t>
  </si>
  <si>
    <t>+1-439-171-1846x4636</t>
  </si>
  <si>
    <t>zvalencia@phelps.com</t>
  </si>
  <si>
    <t>http://hunter-esparza.com/</t>
  </si>
  <si>
    <t>CC68FD1D3Bbbf22</t>
  </si>
  <si>
    <t>Riley</t>
  </si>
  <si>
    <t>Good</t>
  </si>
  <si>
    <t>Wade PLC</t>
  </si>
  <si>
    <t>Erikaville</t>
  </si>
  <si>
    <t>6977745822</t>
  </si>
  <si>
    <t>855-436-7641</t>
  </si>
  <si>
    <t>alex06@galloway.com</t>
  </si>
  <si>
    <t>http://conway.org/</t>
  </si>
  <si>
    <t>CBCd2Ac8E3eBDF9</t>
  </si>
  <si>
    <t>Alexandria</t>
  </si>
  <si>
    <t>Buck</t>
  </si>
  <si>
    <t>Keller-Coffey</t>
  </si>
  <si>
    <t>Nicolasfort</t>
  </si>
  <si>
    <t>Iran</t>
  </si>
  <si>
    <t>078-900-4760x76668</t>
  </si>
  <si>
    <t>414-112-8700x68751</t>
  </si>
  <si>
    <t>lee48@manning.com</t>
  </si>
  <si>
    <t>https://ramsey.org/</t>
  </si>
  <si>
    <t>Ef859092FbEcC07</t>
  </si>
  <si>
    <t>Roth</t>
  </si>
  <si>
    <t>Conway-Mcbride</t>
  </si>
  <si>
    <t>New Jasmineshire</t>
  </si>
  <si>
    <t>Morocco</t>
  </si>
  <si>
    <t>581-440-6539</t>
  </si>
  <si>
    <t>9857827463</t>
  </si>
  <si>
    <t>aharper@maddox-townsend.org</t>
  </si>
  <si>
    <t>https://www.brooks.com/</t>
  </si>
  <si>
    <t>F560f2d3cDFb618</t>
  </si>
  <si>
    <t>Candice</t>
  </si>
  <si>
    <t>Keller</t>
  </si>
  <si>
    <t>Huynh and Sons</t>
  </si>
  <si>
    <t>East Summerstad</t>
  </si>
  <si>
    <t>001-927-965-8550x92406</t>
  </si>
  <si>
    <t>001-243-038-4271x53076</t>
  </si>
  <si>
    <t>buckleycory@odonnell.net</t>
  </si>
  <si>
    <t>https://www.lucero.com/</t>
  </si>
  <si>
    <t>A3F76Be153Df4a3</t>
  </si>
  <si>
    <t>Anita</t>
  </si>
  <si>
    <t>Benson</t>
  </si>
  <si>
    <t>Parrish Ltd</t>
  </si>
  <si>
    <t>Skinnerport</t>
  </si>
  <si>
    <t>Russian Federation</t>
  </si>
  <si>
    <t>874.617.5668x69878</t>
  </si>
  <si>
    <t>(399)820-6418x0071</t>
  </si>
  <si>
    <t>angie04@oconnell.com</t>
  </si>
  <si>
    <t>http://oconnor.com/</t>
  </si>
  <si>
    <t>D01Af0AF7cBbFeA</t>
  </si>
  <si>
    <t>Regina</t>
  </si>
  <si>
    <t>Stein</t>
  </si>
  <si>
    <t>Guzman-Brown</t>
  </si>
  <si>
    <t>Raystad</t>
  </si>
  <si>
    <t>001-469-848-0724x4407</t>
  </si>
  <si>
    <t>001-085-360-4426x00357</t>
  </si>
  <si>
    <t>zrosario@rojas-hardin.net</t>
  </si>
  <si>
    <t>http://www.johnston.info/</t>
  </si>
  <si>
    <t>d40e89dCade7b2F</t>
  </si>
  <si>
    <t>Debra</t>
  </si>
  <si>
    <t>Riddle</t>
  </si>
  <si>
    <t>Chang, Aguirre and Leblanc</t>
  </si>
  <si>
    <t>Colinhaven</t>
  </si>
  <si>
    <t>United States Virgin Islands</t>
  </si>
  <si>
    <t>+1-768-182-6014x14336</t>
  </si>
  <si>
    <t>(303)961-4491</t>
  </si>
  <si>
    <t>shieldskerry@robles.com</t>
  </si>
  <si>
    <t>http://kaiser.info/</t>
  </si>
  <si>
    <t>BF6a1f9bd1bf8DE</t>
  </si>
  <si>
    <t>Brittany</t>
  </si>
  <si>
    <t>Zuniga</t>
  </si>
  <si>
    <t>Mason-Hester</t>
  </si>
  <si>
    <t>West Reginald</t>
  </si>
  <si>
    <t>Kyrgyz Republic</t>
  </si>
  <si>
    <t>(050)136-9025</t>
  </si>
  <si>
    <t>001-480-851-2496x0157</t>
  </si>
  <si>
    <t>mchandler@cochran-huerta.org</t>
  </si>
  <si>
    <t>http://www.boyle.com/</t>
  </si>
  <si>
    <t>FfaeFFbbbf280db</t>
  </si>
  <si>
    <t>Cassidy</t>
  </si>
  <si>
    <t>Mcmahon</t>
  </si>
  <si>
    <t>Mcguire, Huynh and Hopkins</t>
  </si>
  <si>
    <t>Lake Sherryborough</t>
  </si>
  <si>
    <t>Myanmar</t>
  </si>
  <si>
    <t>5040771311</t>
  </si>
  <si>
    <t>684-682-0021x1326</t>
  </si>
  <si>
    <t>katrinalane@fitzgerald.com</t>
  </si>
  <si>
    <t>https://hurst.com/</t>
  </si>
  <si>
    <t>CbAE1d1e9a8dCb1</t>
  </si>
  <si>
    <t>Laurie</t>
  </si>
  <si>
    <t>Pennington</t>
  </si>
  <si>
    <t>Sanchez, Marsh and Hale</t>
  </si>
  <si>
    <t>Port Katherineville</t>
  </si>
  <si>
    <t>Dominica</t>
  </si>
  <si>
    <t>007.155.3406x553</t>
  </si>
  <si>
    <t>+1-809-862-5566x277</t>
  </si>
  <si>
    <t>cookejill@powell.com</t>
  </si>
  <si>
    <t>http://www.hebert.com/</t>
  </si>
  <si>
    <t>A7F85c1DE4dB87f</t>
  </si>
  <si>
    <t>Alejandro</t>
  </si>
  <si>
    <t>Blair</t>
  </si>
  <si>
    <t>Combs, Waller and Durham</t>
  </si>
  <si>
    <t>Thomasland</t>
  </si>
  <si>
    <t>Iceland</t>
  </si>
  <si>
    <t>(690)068-4641x51468</t>
  </si>
  <si>
    <t>555.509.8691x2329</t>
  </si>
  <si>
    <t>elizabethbarr@ewing.com</t>
  </si>
  <si>
    <t>https://mercado-blevins.com/</t>
  </si>
  <si>
    <t>D6CEAfb3BDbaa1A</t>
  </si>
  <si>
    <t>Leslie</t>
  </si>
  <si>
    <t>Jennings</t>
  </si>
  <si>
    <t>Blankenship-Arias</t>
  </si>
  <si>
    <t>Coreybury</t>
  </si>
  <si>
    <t>Micronesia</t>
  </si>
  <si>
    <t>629.198.6346</t>
  </si>
  <si>
    <t>075.256.0829</t>
  </si>
  <si>
    <t>corey75@wiggins.com</t>
  </si>
  <si>
    <t>https://www.juarez.com/</t>
  </si>
  <si>
    <t>Ebdb6F6F7c90b69</t>
  </si>
  <si>
    <t>Kathleen</t>
  </si>
  <si>
    <t>Mckay</t>
  </si>
  <si>
    <t>Coffey, Lamb and Johnson</t>
  </si>
  <si>
    <t>Lake Janiceton</t>
  </si>
  <si>
    <t>(733)910-9968</t>
  </si>
  <si>
    <t>(691)247-4128x0665</t>
  </si>
  <si>
    <t>chloelester@higgins-wilkinson.com</t>
  </si>
  <si>
    <t>http://www.owens-mooney.com/</t>
  </si>
  <si>
    <t>E8E7e8Cfe516ef0</t>
  </si>
  <si>
    <t>Hunter</t>
  </si>
  <si>
    <t>Moreno</t>
  </si>
  <si>
    <t>Fitzpatrick-Lawrence</t>
  </si>
  <si>
    <t>East Clinton</t>
  </si>
  <si>
    <t>Isle of Man</t>
  </si>
  <si>
    <t>(733)833-6754</t>
  </si>
  <si>
    <t>001-761-013-7121</t>
  </si>
  <si>
    <t>isaac26@benton-finley.com</t>
  </si>
  <si>
    <t>http://walls.info/</t>
  </si>
  <si>
    <t>78C06E9b6B3DF20</t>
  </si>
  <si>
    <t>Chad</t>
  </si>
  <si>
    <t>Davidson</t>
  </si>
  <si>
    <t>Garcia-Jimenez</t>
  </si>
  <si>
    <t>South Joshuashire</t>
  </si>
  <si>
    <t>8275702958</t>
  </si>
  <si>
    <t>(804)842-4715</t>
  </si>
  <si>
    <t>justinwalters@jimenez.com</t>
  </si>
  <si>
    <t>http://www.garner-oliver.com/</t>
  </si>
  <si>
    <t>03A1E62ADdeb31c</t>
  </si>
  <si>
    <t>Corey</t>
  </si>
  <si>
    <t>Holt</t>
  </si>
  <si>
    <t>Mcdonald, Bird and Ramirez</t>
  </si>
  <si>
    <t>New Glenda</t>
  </si>
  <si>
    <t>Fiji</t>
  </si>
  <si>
    <t>001-439-242-4986x7918</t>
  </si>
  <si>
    <t>3162708934</t>
  </si>
  <si>
    <t>maurice46@morgan.com</t>
  </si>
  <si>
    <t>http://www.watson.com/</t>
  </si>
  <si>
    <t>C6763c99d0bd16D</t>
  </si>
  <si>
    <t>Emma</t>
  </si>
  <si>
    <t>Cunningham</t>
  </si>
  <si>
    <t>Stephens Inc</t>
  </si>
  <si>
    <t>North Jillianview</t>
  </si>
  <si>
    <t>New Zealand</t>
  </si>
  <si>
    <t>128-059-0206x60217</t>
  </si>
  <si>
    <t>(312)164-4545x2284</t>
  </si>
  <si>
    <t>walter83@juarez.org</t>
  </si>
  <si>
    <t>http://www.reid.info/</t>
  </si>
  <si>
    <t>ebe77E5Bf9476CE</t>
  </si>
  <si>
    <t>Duane</t>
  </si>
  <si>
    <t>Woods</t>
  </si>
  <si>
    <t>Montoya-Miller</t>
  </si>
  <si>
    <t>Lyonsberg</t>
  </si>
  <si>
    <t>Maldives</t>
  </si>
  <si>
    <t>(636)544-7783x7288</t>
  </si>
  <si>
    <t>(203)287-1003x5932</t>
  </si>
  <si>
    <t>kmercer@wagner.com</t>
  </si>
  <si>
    <t>http://murray.org/</t>
  </si>
  <si>
    <t>E4Bbcd8AD81fC5f</t>
  </si>
  <si>
    <t>Alison</t>
  </si>
  <si>
    <t>Vargas</t>
  </si>
  <si>
    <t>Vaughn, Watts and Leach</t>
  </si>
  <si>
    <t>East Cristinabury</t>
  </si>
  <si>
    <t>Benin</t>
  </si>
  <si>
    <t>365-273-8144</t>
  </si>
  <si>
    <t>053-308-7653x6287</t>
  </si>
  <si>
    <t>vcantu@norton.com</t>
  </si>
  <si>
    <t>http://mason.info/</t>
  </si>
  <si>
    <t>efeb73245CDf1fF</t>
  </si>
  <si>
    <t>Vernon</t>
  </si>
  <si>
    <t>Kane</t>
  </si>
  <si>
    <t>Carter-Strickland</t>
  </si>
  <si>
    <t>Thomasfurt</t>
  </si>
  <si>
    <t>Yemen</t>
  </si>
  <si>
    <t>114-854-1159x555</t>
  </si>
  <si>
    <t>499-608-4612</t>
  </si>
  <si>
    <t>hilljesse@barrett.info</t>
  </si>
  <si>
    <t>http://www.duffy-hensley.net/</t>
  </si>
  <si>
    <t>37Ec4B395641c1E</t>
  </si>
  <si>
    <t>Lori</t>
  </si>
  <si>
    <t>Flowers</t>
  </si>
  <si>
    <t>Decker-Mcknight</t>
  </si>
  <si>
    <t>North Joeburgh</t>
  </si>
  <si>
    <t>Namibia</t>
  </si>
  <si>
    <t>679.415.1210</t>
  </si>
  <si>
    <t>945-842-3659x4581</t>
  </si>
  <si>
    <t>tyrone77@valenzuela.info</t>
  </si>
  <si>
    <t>http://www.deleon-crosby.com/</t>
  </si>
  <si>
    <t>5ef6d3eefdD43bE</t>
  </si>
  <si>
    <t>Nina</t>
  </si>
  <si>
    <t>Chavez</t>
  </si>
  <si>
    <t>Byrd-Campbell</t>
  </si>
  <si>
    <t>Cassidychester</t>
  </si>
  <si>
    <t>Bhutan</t>
  </si>
  <si>
    <t>053-344-3205</t>
  </si>
  <si>
    <t>+1-330-920-5422x571</t>
  </si>
  <si>
    <t>elliserica@frank.com</t>
  </si>
  <si>
    <t>https://www.pugh.com/</t>
  </si>
  <si>
    <t>98b3aeDcC3B9FF3</t>
  </si>
  <si>
    <t>Rocha-Hart</t>
  </si>
  <si>
    <t>South Dannymouth</t>
  </si>
  <si>
    <t>Hungary</t>
  </si>
  <si>
    <t>+1-822-569-0302</t>
  </si>
  <si>
    <t>001-626-114-5844x55073</t>
  </si>
  <si>
    <t>nsteele@sparks.com</t>
  </si>
  <si>
    <t>https://www.holt-sparks.com/</t>
  </si>
  <si>
    <t>aAb6AFc7AfD0fF3</t>
  </si>
  <si>
    <t>Collin</t>
  </si>
  <si>
    <t>Ayers</t>
  </si>
  <si>
    <t>Lamb-Peterson</t>
  </si>
  <si>
    <t>South Lonnie</t>
  </si>
  <si>
    <t>Anguilla</t>
  </si>
  <si>
    <t>404-645-5351x012</t>
  </si>
  <si>
    <t>001-257-582-8850x8516</t>
  </si>
  <si>
    <t>dudleyemily@gonzales.biz</t>
  </si>
  <si>
    <t>http://www.ruiz.com/</t>
  </si>
  <si>
    <t>54B5B5Fe9F1B6C5</t>
  </si>
  <si>
    <t>Young</t>
  </si>
  <si>
    <t>Lee, Lucero and Johnson</t>
  </si>
  <si>
    <t>Frankchester</t>
  </si>
  <si>
    <t>158-687-1764</t>
  </si>
  <si>
    <t>(438)375-6207x003</t>
  </si>
  <si>
    <t>alan79@gates-mclaughlin.com</t>
  </si>
  <si>
    <t>https://travis.net/</t>
  </si>
  <si>
    <t>BE91A0bdcA49Bbc</t>
  </si>
  <si>
    <t>Darrell</t>
  </si>
  <si>
    <t>Douglas</t>
  </si>
  <si>
    <t>Newton, Petersen and Mathis</t>
  </si>
  <si>
    <t>Daisyborough</t>
  </si>
  <si>
    <t>Mali</t>
  </si>
  <si>
    <t>001-084-845-9524x1777</t>
  </si>
  <si>
    <t>001-769-564-6303</t>
  </si>
  <si>
    <t>grayjean@lowery-good.com</t>
  </si>
  <si>
    <t>https://banks.biz/</t>
  </si>
  <si>
    <t>cb8E23e48d22Eae</t>
  </si>
  <si>
    <t>Karl</t>
  </si>
  <si>
    <t>Carey LLC</t>
  </si>
  <si>
    <t>East Richard</t>
  </si>
  <si>
    <t>Guyana</t>
  </si>
  <si>
    <t>(188)169-1674x58692</t>
  </si>
  <si>
    <t>001-841-293-3519x614</t>
  </si>
  <si>
    <t>hhart@jensen.com</t>
  </si>
  <si>
    <t>http://hayes-perez.com/</t>
  </si>
  <si>
    <t>CeD220bdAaCfaDf</t>
  </si>
  <si>
    <t>Atkinson</t>
  </si>
  <si>
    <t>Ware, Burns and Oneal</t>
  </si>
  <si>
    <t>New Bradview</t>
  </si>
  <si>
    <t>+1-846-706-2218</t>
  </si>
  <si>
    <t>605.413.3198</t>
  </si>
  <si>
    <t>vkemp@ferrell.com</t>
  </si>
  <si>
    <t>https://novak-allison.com/</t>
  </si>
  <si>
    <t>28CDbC0dFe4b1Db</t>
  </si>
  <si>
    <t>Fred</t>
  </si>
  <si>
    <t>Guerra</t>
  </si>
  <si>
    <t>Schmitt-Jones</t>
  </si>
  <si>
    <t>Ortegaland</t>
  </si>
  <si>
    <t>+1-753-067-8419x7170</t>
  </si>
  <si>
    <t>+1-632-666-7507x92121</t>
  </si>
  <si>
    <t>swagner@kane.org</t>
  </si>
  <si>
    <t>https://www.ross.com/</t>
  </si>
  <si>
    <t>c23d1D9EE8DEB0A</t>
  </si>
  <si>
    <t>Yvonne</t>
  </si>
  <si>
    <t>Farmer</t>
  </si>
  <si>
    <t>Fitzgerald-Harrell</t>
  </si>
  <si>
    <t>Lake Elijahview</t>
  </si>
  <si>
    <t>Aruba</t>
  </si>
  <si>
    <t>(530)311-9786</t>
  </si>
  <si>
    <t>001-869-452-0943x12424</t>
  </si>
  <si>
    <t>mccarthystephen@horn-green.biz</t>
  </si>
  <si>
    <t>http://watkins.info/</t>
  </si>
  <si>
    <t>2354a0E336A91A1</t>
  </si>
  <si>
    <t>Clarence</t>
  </si>
  <si>
    <t>Haynes</t>
  </si>
  <si>
    <t>Le, Nash and Cross</t>
  </si>
  <si>
    <t>Judymouth</t>
  </si>
  <si>
    <t>Honduras</t>
  </si>
  <si>
    <t>(753)813-6941</t>
  </si>
  <si>
    <t>783.639.1472</t>
  </si>
  <si>
    <t>colleen91@faulkner.biz</t>
  </si>
  <si>
    <t>http://www.hatfield-saunders.net/</t>
  </si>
  <si>
    <t>Column1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</si>
  <si>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</si>
  <si>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</si>
  <si>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</si>
  <si>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</si>
  <si>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</si>
  <si>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</si>
  <si>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</si>
  <si>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</si>
  <si>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</si>
  <si>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</si>
  <si>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</si>
  <si>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</si>
  <si>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</si>
  <si>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Variable 1</t>
  </si>
  <si>
    <t>Variable 2</t>
  </si>
  <si>
    <t>Known Variance</t>
  </si>
  <si>
    <t>Observations</t>
  </si>
  <si>
    <t>Hypothesized Mean Difference</t>
  </si>
  <si>
    <t>z</t>
  </si>
  <si>
    <t>P(Z&lt;=z) one-tail</t>
  </si>
  <si>
    <t>z Critical one-tail</t>
  </si>
  <si>
    <t>P(Z&lt;=z) two-tail</t>
  </si>
  <si>
    <t>z Critical two-tail</t>
  </si>
  <si>
    <t>Z-Test: Two Sample for Means</t>
  </si>
  <si>
    <t>t-Test: Paired Two Sample for Means</t>
  </si>
  <si>
    <t>Variance</t>
  </si>
  <si>
    <t>Pearson Correlation</t>
  </si>
  <si>
    <t>df</t>
  </si>
  <si>
    <t>t Stat</t>
  </si>
  <si>
    <t>P(T&lt;=t) one-tail</t>
  </si>
  <si>
    <t>t Critical one-tail</t>
  </si>
  <si>
    <t>P(T&lt;=t) two-tail</t>
  </si>
  <si>
    <t>t Critical two-tail</t>
  </si>
  <si>
    <t>Anova: Single Factor</t>
  </si>
  <si>
    <t>SUMMARY</t>
  </si>
  <si>
    <t>Groups</t>
  </si>
  <si>
    <t>Average</t>
  </si>
  <si>
    <t>Column 1</t>
  </si>
  <si>
    <t>Column 2</t>
  </si>
  <si>
    <t>ANOVA</t>
  </si>
  <si>
    <t>Source of Variation</t>
  </si>
  <si>
    <t>SS</t>
  </si>
  <si>
    <t>MS</t>
  </si>
  <si>
    <t>F</t>
  </si>
  <si>
    <t>P-value</t>
  </si>
  <si>
    <t>F crit</t>
  </si>
  <si>
    <t>Between Groups</t>
  </si>
  <si>
    <t>Within Groups</t>
  </si>
  <si>
    <t>Total</t>
  </si>
  <si>
    <t>M1</t>
  </si>
  <si>
    <t>M2</t>
  </si>
  <si>
    <t>ANANYA</t>
  </si>
  <si>
    <t>RAJU</t>
  </si>
  <si>
    <t>Category</t>
  </si>
  <si>
    <t>Region</t>
  </si>
  <si>
    <t>Quantity (X)</t>
  </si>
  <si>
    <t>Discount (Y)</t>
  </si>
  <si>
    <t>Furniture</t>
  </si>
  <si>
    <t>South</t>
  </si>
  <si>
    <t>Office Supplies</t>
  </si>
  <si>
    <t>Technology</t>
  </si>
  <si>
    <t>Central</t>
  </si>
  <si>
    <t>SUMMARY OUTPUT</t>
  </si>
  <si>
    <t>Regression Statistics</t>
  </si>
  <si>
    <t>Multiple R</t>
  </si>
  <si>
    <t>R Square</t>
  </si>
  <si>
    <t>Adjusted R Square</t>
  </si>
  <si>
    <t>Regression</t>
  </si>
  <si>
    <t>Residual</t>
  </si>
  <si>
    <t>Intercept</t>
  </si>
  <si>
    <t>Significance F</t>
  </si>
  <si>
    <t>Coefficients</t>
  </si>
  <si>
    <t>Lower 95%</t>
  </si>
  <si>
    <t>Upper 95%</t>
  </si>
  <si>
    <t>Lower 95.0%</t>
  </si>
  <si>
    <t>Upper 95.0%</t>
  </si>
  <si>
    <t>X Variable 1</t>
  </si>
  <si>
    <t>Quantity</t>
  </si>
  <si>
    <t>Discount</t>
  </si>
  <si>
    <t>Profit</t>
  </si>
  <si>
    <t>X Variable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</si>
</sst>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164" fontId="0" fillId="0" borderId="0" xfId="0" applyNumberFormat="1"/>
    <xf numFmtId="0" fontId="1" fillId="0" borderId="0" xfId="0" applyFont="1"/>
    <xf numFmtId="0" fontId="1" fillId="0" borderId="1" xfId="0" applyFont="1" applyBorder="1" applyAlignment="1">
      <alignment horizontal="center" vertical="center"/>
    </xf>
    <xf numFmtId="0" fontId="0" fillId="0" borderId="1" xfId="0" applyBorder="1"/>
    <xf numFmtId="164" fontId="0" fillId="0" borderId="1" xfId="0" applyNumberFormat="1" applyBorder="1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/>
    <xf numFmtId="2" fontId="0" fillId="0" borderId="1" xfId="0" applyNumberFormat="1" applyBorder="1"/>
    <xf numFmtId="14" fontId="0" fillId="0" borderId="0" xfId="0" applyNumberFormat="1"/>
    <xf numFmtId="0" fontId="3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right" vertical="center" wrapText="1"/>
    </xf>
    <xf numFmtId="0" fontId="0" fillId="0" borderId="0" xfId="0" applyFont="1"/>
    <xf numFmtId="0" fontId="0" fillId="0" borderId="1" xfId="0" applyFont="1" applyBorder="1" applyAlignment="1">
      <alignment vertical="center" wrapText="1"/>
    </xf>
    <xf numFmtId="0" fontId="0" fillId="0" borderId="1" xfId="0" applyFont="1" applyBorder="1" applyAlignment="1">
      <alignment horizontal="right" vertical="center" wrapText="1"/>
    </xf>
    <xf numFmtId="0" fontId="0" fillId="0" borderId="0" xfId="0" applyFill="1" applyBorder="1" applyAlignment="1"/>
    <xf numFmtId="0" fontId="0" fillId="0" borderId="2" xfId="0" applyFill="1" applyBorder="1" applyAlignment="1"/>
    <xf numFmtId="0" fontId="3" fillId="0" borderId="3" xfId="0" applyFont="1" applyFill="1" applyBorder="1" applyAlignment="1">
      <alignment horizontal="center"/>
    </xf>
    <xf numFmtId="0" fontId="3" fillId="0" borderId="3" xfId="0" applyFont="1" applyFill="1" applyBorder="1" applyAlignment="1">
      <alignment horizontal="centerContinuous"/>
    </xf>
  </cellXfs>
  <cellStyles count="1">
    <cellStyle name="Normal" xfId="0" builtinId="0"/>
  </cellStyles>
  <dxfs count="11"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'EX 6'!$B$1</c:f>
              <c:strCache>
                <c:ptCount val="1"/>
                <c:pt idx="0">
                  <c:v>M1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'EX 6'!$B$2:$B$5</c:f>
              <c:numCache>
                <c:formatCode>General</c:formatCode>
                <c:ptCount val="4"/>
                <c:pt idx="0">
                  <c:v>89</c:v>
                </c:pt>
                <c:pt idx="1">
                  <c:v>42</c:v>
                </c:pt>
                <c:pt idx="2">
                  <c:v>99</c:v>
                </c:pt>
                <c:pt idx="3">
                  <c:v>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E8-431F-BCCC-C69FE9BAD16E}"/>
            </c:ext>
          </c:extLst>
        </c:ser>
        <c:ser>
          <c:idx val="1"/>
          <c:order val="1"/>
          <c:tx>
            <c:strRef>
              <c:f>'EX 6'!$C$1</c:f>
              <c:strCache>
                <c:ptCount val="1"/>
                <c:pt idx="0">
                  <c:v>M2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'EX 6'!$C$2:$C$5</c:f>
              <c:numCache>
                <c:formatCode>General</c:formatCode>
                <c:ptCount val="4"/>
                <c:pt idx="0">
                  <c:v>60</c:v>
                </c:pt>
                <c:pt idx="1">
                  <c:v>34</c:v>
                </c:pt>
                <c:pt idx="2">
                  <c:v>89</c:v>
                </c:pt>
                <c:pt idx="3">
                  <c:v>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BE8-431F-BCCC-C69FE9BAD1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97022592"/>
        <c:axId val="1275932048"/>
      </c:barChart>
      <c:catAx>
        <c:axId val="139702259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5932048"/>
        <c:crosses val="autoZero"/>
        <c:auto val="1"/>
        <c:lblAlgn val="ctr"/>
        <c:lblOffset val="100"/>
        <c:tickLblSkip val="1"/>
        <c:noMultiLvlLbl val="0"/>
      </c:catAx>
      <c:valAx>
        <c:axId val="1275932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70225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454025</xdr:colOff>
      <xdr:row>2</xdr:row>
      <xdr:rowOff>88900</xdr:rowOff>
    </xdr:from>
    <xdr:to>
      <xdr:col>11</xdr:col>
      <xdr:colOff>149225</xdr:colOff>
      <xdr:row>17</xdr:row>
      <xdr:rowOff>69850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B8D89C1-CFA1-5B23-9BCE-BD34AD2CFE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F86D5B4-7D4D-485B-A29E-8A03E8FC4155}" autoFormatId="16" applyNumberFormats="0" applyBorderFormats="0" applyFontFormats="0" applyPatternFormats="0" applyAlignmentFormats="0" applyWidthHeightFormats="0">
  <queryTableRefresh nextId="13">
    <queryTableFields count="12">
      <queryTableField id="1" name="Index" tableColumnId="1"/>
      <queryTableField id="2" name="Customer Id" tableColumnId="2"/>
      <queryTableField id="3" name="First Name" tableColumnId="3"/>
      <queryTableField id="4" name="Last Name" tableColumnId="4"/>
      <queryTableField id="5" name="Company" tableColumnId="5"/>
      <queryTableField id="6" name="City" tableColumnId="6"/>
      <queryTableField id="7" name="Country" tableColumnId="7"/>
      <queryTableField id="8" name="Phone 1" tableColumnId="8"/>
      <queryTableField id="9" name="Phone 2" tableColumnId="9"/>
      <queryTableField id="10" name="Email" tableColumnId="10"/>
      <queryTableField id="11" name="Subscription Date" tableColumnId="11"/>
      <queryTableField id="12" name="Website" tableColumnId="1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9378DD1-FFC9-4CB2-BF3E-A388D9859903}" name="customers_100" displayName="customers_100" ref="A1:L101" tableType="queryTable" totalsRowShown="0">
  <autoFilter ref="A1:L101" xr:uid="{39378DD1-FFC9-4CB2-BF3E-A388D9859903}"/>
  <tableColumns count="12">
    <tableColumn id="1" xr3:uid="{7146AF6A-BCB1-4157-946F-C95923A1EA31}" uniqueName="1" name="Index" queryTableFieldId="1"/>
    <tableColumn id="2" xr3:uid="{A0385352-4BF6-48BC-8DCA-7F185E701DC0}" uniqueName="2" name="Customer Id" queryTableFieldId="2" dataDxfId="10"/>
    <tableColumn id="3" xr3:uid="{C7249813-BC8E-4486-A72C-CE34CC0D7DE0}" uniqueName="3" name="First Name" queryTableFieldId="3" dataDxfId="9"/>
    <tableColumn id="4" xr3:uid="{20B96CDB-D16C-44ED-8EAD-4574A958002D}" uniqueName="4" name="Last Name" queryTableFieldId="4" dataDxfId="8"/>
    <tableColumn id="5" xr3:uid="{B5962049-65DA-472D-8077-382C9A54C2A6}" uniqueName="5" name="Company" queryTableFieldId="5" dataDxfId="7"/>
    <tableColumn id="6" xr3:uid="{1A287569-04C5-4950-A0F8-B89D2B207C84}" uniqueName="6" name="City" queryTableFieldId="6" dataDxfId="6"/>
    <tableColumn id="7" xr3:uid="{B800D26A-C236-4052-8866-C1045D5A067C}" uniqueName="7" name="Country" queryTableFieldId="7" dataDxfId="5"/>
    <tableColumn id="8" xr3:uid="{6FEEFCB6-04A7-41FC-9606-7248B01EA8A7}" uniqueName="8" name="Phone 1" queryTableFieldId="8" dataDxfId="4"/>
    <tableColumn id="9" xr3:uid="{EB477518-200F-4A49-9CAE-7CABA138B6DF}" uniqueName="9" name="Phone 2" queryTableFieldId="9" dataDxfId="3"/>
    <tableColumn id="10" xr3:uid="{96960DF6-A6D5-4D13-8B39-D8BF91010EFE}" uniqueName="10" name="Email" queryTableFieldId="10" dataDxfId="2"/>
    <tableColumn id="11" xr3:uid="{5BA7C468-809A-4184-A842-4E5F4A3BA7CE}" uniqueName="11" name="Subscription Date" queryTableFieldId="11" dataDxfId="1"/>
    <tableColumn id="12" xr3:uid="{57693772-8C29-43FF-966C-CBA650FE71A0}" uniqueName="12" name="Website" queryTableFieldId="12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FE6A9E-9C7D-40FE-9F6C-82BA96512BDC}">
  <dimension ref="A1:F13"/>
  <sheetViews>
    <sheetView workbookViewId="0">
      <selection activeCell="H9" sqref="H9"/>
    </sheetView>
  </sheetViews>
  <sheetFormatPr defaultRowHeight="14.5" x14ac:dyDescent="0.35"/>
  <cols>
    <col min="3" max="3" width="11.7265625" bestFit="1" customWidth="1"/>
    <col min="6" max="6" width="12.90625" customWidth="1"/>
  </cols>
  <sheetData>
    <row r="1" spans="1:6" x14ac:dyDescent="0.35">
      <c r="A1" s="5" t="s">
        <v>0</v>
      </c>
      <c r="B1" s="2"/>
      <c r="C1" s="5" t="s">
        <v>1</v>
      </c>
      <c r="E1" s="14" t="s">
        <v>2</v>
      </c>
      <c r="F1" s="14"/>
    </row>
    <row r="2" spans="1:6" x14ac:dyDescent="0.35">
      <c r="A2" s="6">
        <v>10</v>
      </c>
      <c r="C2" s="7">
        <v>50000</v>
      </c>
      <c r="E2" s="6" t="s">
        <v>3</v>
      </c>
      <c r="F2" s="6" t="s">
        <v>15</v>
      </c>
    </row>
    <row r="3" spans="1:6" x14ac:dyDescent="0.35">
      <c r="A3" s="6">
        <v>20</v>
      </c>
      <c r="C3" s="7">
        <v>43000</v>
      </c>
      <c r="E3" s="6" t="s">
        <v>4</v>
      </c>
      <c r="F3" s="6" t="s">
        <v>16</v>
      </c>
    </row>
    <row r="4" spans="1:6" x14ac:dyDescent="0.35">
      <c r="A4" s="6">
        <v>30</v>
      </c>
      <c r="C4" s="7">
        <v>22000</v>
      </c>
      <c r="E4" s="6" t="s">
        <v>5</v>
      </c>
      <c r="F4" s="6" t="s">
        <v>17</v>
      </c>
    </row>
    <row r="5" spans="1:6" x14ac:dyDescent="0.35">
      <c r="A5" s="6">
        <f>A2+A3+A4</f>
        <v>60</v>
      </c>
      <c r="C5" s="3"/>
      <c r="E5" s="6" t="s">
        <v>6</v>
      </c>
      <c r="F5" s="6" t="s">
        <v>18</v>
      </c>
    </row>
    <row r="6" spans="1:6" x14ac:dyDescent="0.35">
      <c r="E6" s="6" t="s">
        <v>7</v>
      </c>
      <c r="F6" s="6" t="s">
        <v>19</v>
      </c>
    </row>
    <row r="7" spans="1:6" x14ac:dyDescent="0.35">
      <c r="E7" s="6" t="s">
        <v>8</v>
      </c>
      <c r="F7" s="6" t="s">
        <v>20</v>
      </c>
    </row>
    <row r="8" spans="1:6" x14ac:dyDescent="0.35">
      <c r="E8" s="6" t="s">
        <v>9</v>
      </c>
      <c r="F8" s="6" t="s">
        <v>21</v>
      </c>
    </row>
    <row r="9" spans="1:6" x14ac:dyDescent="0.35">
      <c r="E9" s="6" t="s">
        <v>10</v>
      </c>
      <c r="F9" s="6"/>
    </row>
    <row r="10" spans="1:6" x14ac:dyDescent="0.35">
      <c r="E10" s="6" t="s">
        <v>11</v>
      </c>
      <c r="F10" s="6"/>
    </row>
    <row r="11" spans="1:6" x14ac:dyDescent="0.35">
      <c r="E11" s="6" t="s">
        <v>12</v>
      </c>
      <c r="F11" s="6"/>
    </row>
    <row r="12" spans="1:6" x14ac:dyDescent="0.35">
      <c r="E12" s="6" t="s">
        <v>13</v>
      </c>
      <c r="F12" s="6"/>
    </row>
    <row r="13" spans="1:6" x14ac:dyDescent="0.35">
      <c r="E13" s="6" t="s">
        <v>14</v>
      </c>
      <c r="F13" s="6"/>
    </row>
  </sheetData>
  <mergeCells count="1">
    <mergeCell ref="E1:F1"/>
  </mergeCells>
  <phoneticPr fontId="2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D39369-00E3-45FB-8F11-75011437060D}">
  <dimension ref="A1:D13"/>
  <sheetViews>
    <sheetView workbookViewId="0">
      <selection sqref="A1:D6"/>
    </sheetView>
  </sheetViews>
  <sheetFormatPr defaultRowHeight="14.5" x14ac:dyDescent="0.35"/>
  <cols>
    <col min="1" max="1" width="8.7265625" style="1"/>
    <col min="2" max="2" width="10.26953125" customWidth="1"/>
    <col min="3" max="3" width="10.54296875" customWidth="1"/>
    <col min="4" max="4" width="11.7265625" customWidth="1"/>
  </cols>
  <sheetData>
    <row r="1" spans="1:4" s="2" customFormat="1" x14ac:dyDescent="0.35">
      <c r="A1" s="5" t="s">
        <v>22</v>
      </c>
      <c r="B1" s="5" t="s">
        <v>23</v>
      </c>
      <c r="C1" s="5" t="s">
        <v>24</v>
      </c>
      <c r="D1" s="5" t="s">
        <v>25</v>
      </c>
    </row>
    <row r="2" spans="1:4" x14ac:dyDescent="0.35">
      <c r="A2" s="9">
        <v>101</v>
      </c>
      <c r="B2" s="6" t="s">
        <v>33</v>
      </c>
      <c r="C2" s="6">
        <v>99</v>
      </c>
      <c r="D2" s="6">
        <v>95</v>
      </c>
    </row>
    <row r="3" spans="1:4" x14ac:dyDescent="0.35">
      <c r="A3" s="9">
        <v>102</v>
      </c>
      <c r="B3" s="6" t="s">
        <v>32</v>
      </c>
      <c r="C3" s="6">
        <v>86</v>
      </c>
      <c r="D3" s="6">
        <v>45</v>
      </c>
    </row>
    <row r="4" spans="1:4" x14ac:dyDescent="0.35">
      <c r="A4" s="9">
        <v>103</v>
      </c>
      <c r="B4" s="6" t="s">
        <v>34</v>
      </c>
      <c r="C4" s="6">
        <v>78</v>
      </c>
      <c r="D4" s="6">
        <v>89</v>
      </c>
    </row>
    <row r="5" spans="1:4" x14ac:dyDescent="0.35">
      <c r="A5" s="9">
        <v>104</v>
      </c>
      <c r="B5" s="6" t="s">
        <v>35</v>
      </c>
      <c r="C5" s="6">
        <v>55</v>
      </c>
      <c r="D5" s="6">
        <v>65</v>
      </c>
    </row>
    <row r="6" spans="1:4" x14ac:dyDescent="0.35">
      <c r="A6" s="9">
        <v>105</v>
      </c>
      <c r="B6" s="6" t="s">
        <v>36</v>
      </c>
      <c r="C6" s="6">
        <v>87</v>
      </c>
      <c r="D6" s="6">
        <v>97</v>
      </c>
    </row>
    <row r="8" spans="1:4" x14ac:dyDescent="0.35">
      <c r="B8" s="10" t="s">
        <v>26</v>
      </c>
      <c r="C8" s="6">
        <f>MAX(C2:C6)</f>
        <v>99</v>
      </c>
      <c r="D8" s="6">
        <f>MAX(D2:D6)</f>
        <v>97</v>
      </c>
    </row>
    <row r="9" spans="1:4" x14ac:dyDescent="0.35">
      <c r="B9" s="10" t="s">
        <v>27</v>
      </c>
      <c r="C9" s="6">
        <f>MIN(C2:C6)</f>
        <v>55</v>
      </c>
      <c r="D9" s="6">
        <f>MIN(D2:D6)</f>
        <v>45</v>
      </c>
    </row>
    <row r="10" spans="1:4" x14ac:dyDescent="0.35">
      <c r="B10" s="10" t="s">
        <v>28</v>
      </c>
      <c r="C10" s="6">
        <f>AVERAGE(C2:C6)</f>
        <v>81</v>
      </c>
      <c r="D10" s="6">
        <f>AVERAGE(D2:D6)</f>
        <v>78.2</v>
      </c>
    </row>
    <row r="11" spans="1:4" x14ac:dyDescent="0.35">
      <c r="B11" s="10" t="s">
        <v>29</v>
      </c>
      <c r="C11" s="6">
        <f>SUM(C2:C6)</f>
        <v>405</v>
      </c>
      <c r="D11" s="6">
        <f>SUM(D2:D6)</f>
        <v>391</v>
      </c>
    </row>
    <row r="12" spans="1:4" x14ac:dyDescent="0.35">
      <c r="B12" s="10" t="s">
        <v>30</v>
      </c>
      <c r="C12" s="11">
        <f>SQRT(C2)</f>
        <v>9.9498743710661994</v>
      </c>
      <c r="D12" s="11">
        <f>SQRT(D2)</f>
        <v>9.7467943448089631</v>
      </c>
    </row>
    <row r="13" spans="1:4" x14ac:dyDescent="0.35">
      <c r="B13" s="10" t="s">
        <v>31</v>
      </c>
      <c r="C13" s="11">
        <f>ROUND(C12,0)</f>
        <v>10</v>
      </c>
      <c r="D13" s="11">
        <f>ROUND(D12,0)</f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81DC7-4701-4E44-86CE-2E4DFCCF94A0}">
  <dimension ref="A1:L101"/>
  <sheetViews>
    <sheetView workbookViewId="0"/>
  </sheetViews>
  <sheetFormatPr defaultRowHeight="14.5" x14ac:dyDescent="0.35"/>
  <cols>
    <col min="1" max="1" width="7.7265625" bestFit="1" customWidth="1"/>
    <col min="2" max="2" width="17" bestFit="1" customWidth="1"/>
    <col min="3" max="3" width="12.08984375" bestFit="1" customWidth="1"/>
    <col min="4" max="4" width="11.81640625" bestFit="1" customWidth="1"/>
    <col min="5" max="5" width="30.81640625" bestFit="1" customWidth="1"/>
    <col min="6" max="6" width="19.1796875" bestFit="1" customWidth="1"/>
    <col min="7" max="7" width="39.90625" bestFit="1" customWidth="1"/>
    <col min="8" max="9" width="21.90625" bestFit="1" customWidth="1"/>
    <col min="10" max="10" width="35" bestFit="1" customWidth="1"/>
    <col min="11" max="11" width="18" bestFit="1" customWidth="1"/>
    <col min="12" max="12" width="31.08984375" bestFit="1" customWidth="1"/>
  </cols>
  <sheetData>
    <row r="1" spans="1:12" x14ac:dyDescent="0.35">
      <c r="A1" t="s">
        <v>37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45</v>
      </c>
      <c r="J1" t="s">
        <v>46</v>
      </c>
      <c r="K1" t="s">
        <v>47</v>
      </c>
      <c r="L1" t="s">
        <v>48</v>
      </c>
    </row>
    <row r="2" spans="1:12" x14ac:dyDescent="0.35">
      <c r="A2">
        <v>1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 t="s">
        <v>56</v>
      </c>
      <c r="J2" t="s">
        <v>57</v>
      </c>
      <c r="K2" s="12">
        <v>44067</v>
      </c>
      <c r="L2" t="s">
        <v>58</v>
      </c>
    </row>
    <row r="3" spans="1:12" x14ac:dyDescent="0.35">
      <c r="A3">
        <v>2</v>
      </c>
      <c r="B3" t="s">
        <v>59</v>
      </c>
      <c r="C3" t="s">
        <v>60</v>
      </c>
      <c r="D3" t="s">
        <v>61</v>
      </c>
      <c r="E3" t="s">
        <v>62</v>
      </c>
      <c r="F3" t="s">
        <v>63</v>
      </c>
      <c r="G3" t="s">
        <v>64</v>
      </c>
      <c r="H3" t="s">
        <v>65</v>
      </c>
      <c r="I3" t="s">
        <v>66</v>
      </c>
      <c r="J3" t="s">
        <v>67</v>
      </c>
      <c r="K3" s="12">
        <v>44309</v>
      </c>
      <c r="L3" t="s">
        <v>68</v>
      </c>
    </row>
    <row r="4" spans="1:12" x14ac:dyDescent="0.35">
      <c r="A4">
        <v>3</v>
      </c>
      <c r="B4" t="s">
        <v>69</v>
      </c>
      <c r="C4" t="s">
        <v>70</v>
      </c>
      <c r="D4" t="s">
        <v>71</v>
      </c>
      <c r="E4" t="s">
        <v>72</v>
      </c>
      <c r="F4" t="s">
        <v>73</v>
      </c>
      <c r="G4" t="s">
        <v>74</v>
      </c>
      <c r="H4" t="s">
        <v>75</v>
      </c>
      <c r="I4" t="s">
        <v>76</v>
      </c>
      <c r="J4" t="s">
        <v>77</v>
      </c>
      <c r="K4" s="12">
        <v>43915</v>
      </c>
      <c r="L4" t="s">
        <v>78</v>
      </c>
    </row>
    <row r="5" spans="1:12" x14ac:dyDescent="0.35">
      <c r="A5">
        <v>4</v>
      </c>
      <c r="B5" t="s">
        <v>79</v>
      </c>
      <c r="C5" t="s">
        <v>80</v>
      </c>
      <c r="D5" t="s">
        <v>81</v>
      </c>
      <c r="E5" t="s">
        <v>82</v>
      </c>
      <c r="F5" t="s">
        <v>83</v>
      </c>
      <c r="G5" t="s">
        <v>84</v>
      </c>
      <c r="H5" t="s">
        <v>85</v>
      </c>
      <c r="I5" t="s">
        <v>86</v>
      </c>
      <c r="J5" t="s">
        <v>87</v>
      </c>
      <c r="K5" s="12">
        <v>43984</v>
      </c>
      <c r="L5" t="s">
        <v>88</v>
      </c>
    </row>
    <row r="6" spans="1:12" x14ac:dyDescent="0.35">
      <c r="A6">
        <v>5</v>
      </c>
      <c r="B6" t="s">
        <v>89</v>
      </c>
      <c r="C6" t="s">
        <v>90</v>
      </c>
      <c r="D6" t="s">
        <v>91</v>
      </c>
      <c r="E6" t="s">
        <v>92</v>
      </c>
      <c r="F6" t="s">
        <v>93</v>
      </c>
      <c r="G6" t="s">
        <v>94</v>
      </c>
      <c r="H6" t="s">
        <v>95</v>
      </c>
      <c r="I6" t="s">
        <v>96</v>
      </c>
      <c r="J6" t="s">
        <v>97</v>
      </c>
      <c r="K6" s="12">
        <v>44303</v>
      </c>
      <c r="L6" t="s">
        <v>98</v>
      </c>
    </row>
    <row r="7" spans="1:12" x14ac:dyDescent="0.35">
      <c r="A7">
        <v>6</v>
      </c>
      <c r="B7" t="s">
        <v>99</v>
      </c>
      <c r="C7" t="s">
        <v>100</v>
      </c>
      <c r="D7" t="s">
        <v>101</v>
      </c>
      <c r="E7" t="s">
        <v>102</v>
      </c>
      <c r="F7" t="s">
        <v>103</v>
      </c>
      <c r="G7" t="s">
        <v>104</v>
      </c>
      <c r="H7" t="s">
        <v>105</v>
      </c>
      <c r="I7" t="s">
        <v>106</v>
      </c>
      <c r="J7" t="s">
        <v>107</v>
      </c>
      <c r="K7" s="12">
        <v>43886</v>
      </c>
      <c r="L7" t="s">
        <v>108</v>
      </c>
    </row>
    <row r="8" spans="1:12" x14ac:dyDescent="0.35">
      <c r="A8">
        <v>7</v>
      </c>
      <c r="B8" t="s">
        <v>109</v>
      </c>
      <c r="C8" t="s">
        <v>110</v>
      </c>
      <c r="D8" t="s">
        <v>111</v>
      </c>
      <c r="E8" t="s">
        <v>112</v>
      </c>
      <c r="F8" t="s">
        <v>113</v>
      </c>
      <c r="G8" t="s">
        <v>114</v>
      </c>
      <c r="H8" t="s">
        <v>115</v>
      </c>
      <c r="I8" t="s">
        <v>116</v>
      </c>
      <c r="J8" t="s">
        <v>117</v>
      </c>
      <c r="K8" s="12">
        <v>44432</v>
      </c>
      <c r="L8" t="s">
        <v>118</v>
      </c>
    </row>
    <row r="9" spans="1:12" x14ac:dyDescent="0.35">
      <c r="A9">
        <v>8</v>
      </c>
      <c r="B9" t="s">
        <v>119</v>
      </c>
      <c r="C9" t="s">
        <v>120</v>
      </c>
      <c r="D9" t="s">
        <v>121</v>
      </c>
      <c r="E9" t="s">
        <v>122</v>
      </c>
      <c r="F9" t="s">
        <v>123</v>
      </c>
      <c r="G9" t="s">
        <v>124</v>
      </c>
      <c r="H9" t="s">
        <v>125</v>
      </c>
      <c r="I9" t="s">
        <v>126</v>
      </c>
      <c r="J9" t="s">
        <v>127</v>
      </c>
      <c r="K9" s="12">
        <v>44298</v>
      </c>
      <c r="L9" t="s">
        <v>128</v>
      </c>
    </row>
    <row r="10" spans="1:12" x14ac:dyDescent="0.35">
      <c r="A10">
        <v>9</v>
      </c>
      <c r="B10" t="s">
        <v>129</v>
      </c>
      <c r="C10" t="s">
        <v>50</v>
      </c>
      <c r="D10" t="s">
        <v>130</v>
      </c>
      <c r="E10" t="s">
        <v>131</v>
      </c>
      <c r="F10" t="s">
        <v>132</v>
      </c>
      <c r="G10" t="s">
        <v>133</v>
      </c>
      <c r="H10" t="s">
        <v>134</v>
      </c>
      <c r="I10" t="s">
        <v>135</v>
      </c>
      <c r="J10" t="s">
        <v>136</v>
      </c>
      <c r="K10" s="12">
        <v>43843</v>
      </c>
      <c r="L10" t="s">
        <v>137</v>
      </c>
    </row>
    <row r="11" spans="1:12" x14ac:dyDescent="0.35">
      <c r="A11">
        <v>10</v>
      </c>
      <c r="B11" t="s">
        <v>138</v>
      </c>
      <c r="C11" t="s">
        <v>139</v>
      </c>
      <c r="D11" t="s">
        <v>140</v>
      </c>
      <c r="E11" t="s">
        <v>141</v>
      </c>
      <c r="F11" t="s">
        <v>142</v>
      </c>
      <c r="G11" t="s">
        <v>143</v>
      </c>
      <c r="H11" t="s">
        <v>144</v>
      </c>
      <c r="I11" t="s">
        <v>145</v>
      </c>
      <c r="J11" t="s">
        <v>146</v>
      </c>
      <c r="K11" s="12">
        <v>44508</v>
      </c>
      <c r="L11" t="s">
        <v>147</v>
      </c>
    </row>
    <row r="12" spans="1:12" x14ac:dyDescent="0.35">
      <c r="A12">
        <v>11</v>
      </c>
      <c r="B12" t="s">
        <v>148</v>
      </c>
      <c r="C12" t="s">
        <v>149</v>
      </c>
      <c r="D12" t="s">
        <v>150</v>
      </c>
      <c r="E12" t="s">
        <v>151</v>
      </c>
      <c r="F12" t="s">
        <v>152</v>
      </c>
      <c r="G12" t="s">
        <v>153</v>
      </c>
      <c r="H12" t="s">
        <v>154</v>
      </c>
      <c r="I12" t="s">
        <v>155</v>
      </c>
      <c r="J12" t="s">
        <v>156</v>
      </c>
      <c r="K12" s="12">
        <v>44489</v>
      </c>
      <c r="L12" t="s">
        <v>157</v>
      </c>
    </row>
    <row r="13" spans="1:12" x14ac:dyDescent="0.35">
      <c r="A13">
        <v>12</v>
      </c>
      <c r="B13" t="s">
        <v>158</v>
      </c>
      <c r="C13" t="s">
        <v>159</v>
      </c>
      <c r="D13" t="s">
        <v>160</v>
      </c>
      <c r="E13" t="s">
        <v>161</v>
      </c>
      <c r="F13" t="s">
        <v>162</v>
      </c>
      <c r="G13" t="s">
        <v>163</v>
      </c>
      <c r="H13" t="s">
        <v>164</v>
      </c>
      <c r="I13" t="s">
        <v>165</v>
      </c>
      <c r="J13" t="s">
        <v>166</v>
      </c>
      <c r="K13" s="12">
        <v>44164</v>
      </c>
      <c r="L13" t="s">
        <v>167</v>
      </c>
    </row>
    <row r="14" spans="1:12" x14ac:dyDescent="0.35">
      <c r="A14">
        <v>13</v>
      </c>
      <c r="B14" t="s">
        <v>168</v>
      </c>
      <c r="C14" t="s">
        <v>169</v>
      </c>
      <c r="D14" t="s">
        <v>170</v>
      </c>
      <c r="E14" t="s">
        <v>171</v>
      </c>
      <c r="F14" t="s">
        <v>172</v>
      </c>
      <c r="G14" t="s">
        <v>173</v>
      </c>
      <c r="H14" t="s">
        <v>174</v>
      </c>
      <c r="I14" t="s">
        <v>175</v>
      </c>
      <c r="J14" t="s">
        <v>176</v>
      </c>
      <c r="K14" s="12">
        <v>44532</v>
      </c>
      <c r="L14" t="s">
        <v>177</v>
      </c>
    </row>
    <row r="15" spans="1:12" x14ac:dyDescent="0.35">
      <c r="A15">
        <v>14</v>
      </c>
      <c r="B15" t="s">
        <v>178</v>
      </c>
      <c r="C15" t="s">
        <v>179</v>
      </c>
      <c r="D15" t="s">
        <v>180</v>
      </c>
      <c r="E15" t="s">
        <v>181</v>
      </c>
      <c r="F15" t="s">
        <v>182</v>
      </c>
      <c r="G15" t="s">
        <v>183</v>
      </c>
      <c r="H15" t="s">
        <v>184</v>
      </c>
      <c r="I15" t="s">
        <v>185</v>
      </c>
      <c r="J15" t="s">
        <v>186</v>
      </c>
      <c r="K15" s="12">
        <v>44235</v>
      </c>
      <c r="L15" t="s">
        <v>187</v>
      </c>
    </row>
    <row r="16" spans="1:12" x14ac:dyDescent="0.35">
      <c r="A16">
        <v>15</v>
      </c>
      <c r="B16" t="s">
        <v>188</v>
      </c>
      <c r="C16" t="s">
        <v>189</v>
      </c>
      <c r="D16" t="s">
        <v>190</v>
      </c>
      <c r="E16" t="s">
        <v>191</v>
      </c>
      <c r="F16" t="s">
        <v>192</v>
      </c>
      <c r="G16" t="s">
        <v>193</v>
      </c>
      <c r="H16" t="s">
        <v>194</v>
      </c>
      <c r="I16" t="s">
        <v>195</v>
      </c>
      <c r="J16" t="s">
        <v>196</v>
      </c>
      <c r="K16" s="12">
        <v>44587</v>
      </c>
      <c r="L16" t="s">
        <v>197</v>
      </c>
    </row>
    <row r="17" spans="1:12" x14ac:dyDescent="0.35">
      <c r="A17">
        <v>16</v>
      </c>
      <c r="B17" t="s">
        <v>198</v>
      </c>
      <c r="C17" t="s">
        <v>199</v>
      </c>
      <c r="D17" t="s">
        <v>200</v>
      </c>
      <c r="E17" t="s">
        <v>201</v>
      </c>
      <c r="F17" t="s">
        <v>202</v>
      </c>
      <c r="G17" t="s">
        <v>203</v>
      </c>
      <c r="H17" t="s">
        <v>204</v>
      </c>
      <c r="I17" t="s">
        <v>205</v>
      </c>
      <c r="J17" t="s">
        <v>206</v>
      </c>
      <c r="K17" s="12">
        <v>44663</v>
      </c>
      <c r="L17" t="s">
        <v>207</v>
      </c>
    </row>
    <row r="18" spans="1:12" x14ac:dyDescent="0.35">
      <c r="A18">
        <v>17</v>
      </c>
      <c r="B18" t="s">
        <v>208</v>
      </c>
      <c r="C18" t="s">
        <v>209</v>
      </c>
      <c r="D18" t="s">
        <v>210</v>
      </c>
      <c r="E18" t="s">
        <v>211</v>
      </c>
      <c r="F18" t="s">
        <v>212</v>
      </c>
      <c r="G18" t="s">
        <v>213</v>
      </c>
      <c r="H18" t="s">
        <v>214</v>
      </c>
      <c r="I18" t="s">
        <v>215</v>
      </c>
      <c r="J18" t="s">
        <v>216</v>
      </c>
      <c r="K18" s="12">
        <v>44265</v>
      </c>
      <c r="L18" t="s">
        <v>217</v>
      </c>
    </row>
    <row r="19" spans="1:12" x14ac:dyDescent="0.35">
      <c r="A19">
        <v>18</v>
      </c>
      <c r="B19" t="s">
        <v>218</v>
      </c>
      <c r="C19" t="s">
        <v>219</v>
      </c>
      <c r="D19" t="s">
        <v>170</v>
      </c>
      <c r="E19" t="s">
        <v>220</v>
      </c>
      <c r="F19" t="s">
        <v>221</v>
      </c>
      <c r="G19" t="s">
        <v>222</v>
      </c>
      <c r="H19" t="s">
        <v>223</v>
      </c>
      <c r="I19" t="s">
        <v>224</v>
      </c>
      <c r="J19" t="s">
        <v>225</v>
      </c>
      <c r="K19" s="12">
        <v>44646</v>
      </c>
      <c r="L19" t="s">
        <v>226</v>
      </c>
    </row>
    <row r="20" spans="1:12" x14ac:dyDescent="0.35">
      <c r="A20">
        <v>19</v>
      </c>
      <c r="B20" t="s">
        <v>227</v>
      </c>
      <c r="C20" t="s">
        <v>228</v>
      </c>
      <c r="D20" t="s">
        <v>229</v>
      </c>
      <c r="E20" t="s">
        <v>230</v>
      </c>
      <c r="F20" t="s">
        <v>231</v>
      </c>
      <c r="G20" t="s">
        <v>232</v>
      </c>
      <c r="H20" t="s">
        <v>233</v>
      </c>
      <c r="I20" t="s">
        <v>234</v>
      </c>
      <c r="J20" t="s">
        <v>235</v>
      </c>
      <c r="K20" s="12">
        <v>44098</v>
      </c>
      <c r="L20" t="s">
        <v>236</v>
      </c>
    </row>
    <row r="21" spans="1:12" x14ac:dyDescent="0.35">
      <c r="A21">
        <v>20</v>
      </c>
      <c r="B21" t="s">
        <v>237</v>
      </c>
      <c r="C21" t="s">
        <v>90</v>
      </c>
      <c r="D21" t="s">
        <v>238</v>
      </c>
      <c r="E21" t="s">
        <v>239</v>
      </c>
      <c r="F21" t="s">
        <v>240</v>
      </c>
      <c r="G21" t="s">
        <v>241</v>
      </c>
      <c r="H21" t="s">
        <v>242</v>
      </c>
      <c r="I21" t="s">
        <v>243</v>
      </c>
      <c r="J21" t="s">
        <v>244</v>
      </c>
      <c r="K21" s="12">
        <v>44463</v>
      </c>
      <c r="L21" t="s">
        <v>245</v>
      </c>
    </row>
    <row r="22" spans="1:12" x14ac:dyDescent="0.35">
      <c r="A22">
        <v>21</v>
      </c>
      <c r="B22" t="s">
        <v>246</v>
      </c>
      <c r="C22" t="s">
        <v>247</v>
      </c>
      <c r="D22" t="s">
        <v>248</v>
      </c>
      <c r="E22" t="s">
        <v>249</v>
      </c>
      <c r="F22" t="s">
        <v>250</v>
      </c>
      <c r="G22" t="s">
        <v>251</v>
      </c>
      <c r="H22" t="s">
        <v>252</v>
      </c>
      <c r="I22" t="s">
        <v>253</v>
      </c>
      <c r="J22" t="s">
        <v>254</v>
      </c>
      <c r="K22" s="12">
        <v>44573</v>
      </c>
      <c r="L22" t="s">
        <v>255</v>
      </c>
    </row>
    <row r="23" spans="1:12" x14ac:dyDescent="0.35">
      <c r="A23">
        <v>22</v>
      </c>
      <c r="B23" t="s">
        <v>256</v>
      </c>
      <c r="C23" t="s">
        <v>257</v>
      </c>
      <c r="D23" t="s">
        <v>258</v>
      </c>
      <c r="E23" t="s">
        <v>259</v>
      </c>
      <c r="F23" t="s">
        <v>260</v>
      </c>
      <c r="G23" t="s">
        <v>261</v>
      </c>
      <c r="H23" t="s">
        <v>262</v>
      </c>
      <c r="I23" t="s">
        <v>263</v>
      </c>
      <c r="J23" t="s">
        <v>264</v>
      </c>
      <c r="K23" s="12">
        <v>44089</v>
      </c>
      <c r="L23" t="s">
        <v>265</v>
      </c>
    </row>
    <row r="24" spans="1:12" x14ac:dyDescent="0.35">
      <c r="A24">
        <v>23</v>
      </c>
      <c r="B24" t="s">
        <v>266</v>
      </c>
      <c r="C24" t="s">
        <v>267</v>
      </c>
      <c r="D24" t="s">
        <v>268</v>
      </c>
      <c r="E24" t="s">
        <v>269</v>
      </c>
      <c r="F24" t="s">
        <v>270</v>
      </c>
      <c r="G24" t="s">
        <v>271</v>
      </c>
      <c r="H24" t="s">
        <v>272</v>
      </c>
      <c r="I24" t="s">
        <v>273</v>
      </c>
      <c r="J24" t="s">
        <v>274</v>
      </c>
      <c r="K24" s="12">
        <v>44062</v>
      </c>
      <c r="L24" t="s">
        <v>275</v>
      </c>
    </row>
    <row r="25" spans="1:12" x14ac:dyDescent="0.35">
      <c r="A25">
        <v>24</v>
      </c>
      <c r="B25" t="s">
        <v>276</v>
      </c>
      <c r="C25" t="s">
        <v>277</v>
      </c>
      <c r="D25" t="s">
        <v>278</v>
      </c>
      <c r="E25" t="s">
        <v>279</v>
      </c>
      <c r="F25" t="s">
        <v>280</v>
      </c>
      <c r="G25" t="s">
        <v>281</v>
      </c>
      <c r="H25" t="s">
        <v>282</v>
      </c>
      <c r="I25" t="s">
        <v>283</v>
      </c>
      <c r="J25" t="s">
        <v>284</v>
      </c>
      <c r="K25" s="12">
        <v>44082</v>
      </c>
      <c r="L25" t="s">
        <v>285</v>
      </c>
    </row>
    <row r="26" spans="1:12" x14ac:dyDescent="0.35">
      <c r="A26">
        <v>25</v>
      </c>
      <c r="B26" t="s">
        <v>286</v>
      </c>
      <c r="C26" t="s">
        <v>287</v>
      </c>
      <c r="D26" t="s">
        <v>288</v>
      </c>
      <c r="E26" t="s">
        <v>289</v>
      </c>
      <c r="F26" t="s">
        <v>290</v>
      </c>
      <c r="G26" t="s">
        <v>291</v>
      </c>
      <c r="H26" t="s">
        <v>292</v>
      </c>
      <c r="I26" t="s">
        <v>293</v>
      </c>
      <c r="J26" t="s">
        <v>294</v>
      </c>
      <c r="K26" s="12">
        <v>44292</v>
      </c>
      <c r="L26" t="s">
        <v>295</v>
      </c>
    </row>
    <row r="27" spans="1:12" x14ac:dyDescent="0.35">
      <c r="A27">
        <v>26</v>
      </c>
      <c r="B27" t="s">
        <v>296</v>
      </c>
      <c r="C27" t="s">
        <v>297</v>
      </c>
      <c r="D27" t="s">
        <v>298</v>
      </c>
      <c r="E27" t="s">
        <v>299</v>
      </c>
      <c r="F27" t="s">
        <v>300</v>
      </c>
      <c r="G27" t="s">
        <v>301</v>
      </c>
      <c r="H27" t="s">
        <v>302</v>
      </c>
      <c r="I27" t="s">
        <v>303</v>
      </c>
      <c r="J27" t="s">
        <v>304</v>
      </c>
      <c r="K27" s="12">
        <v>44705</v>
      </c>
      <c r="L27" t="s">
        <v>305</v>
      </c>
    </row>
    <row r="28" spans="1:12" x14ac:dyDescent="0.35">
      <c r="A28">
        <v>27</v>
      </c>
      <c r="B28" t="s">
        <v>306</v>
      </c>
      <c r="C28" t="s">
        <v>307</v>
      </c>
      <c r="D28" t="s">
        <v>308</v>
      </c>
      <c r="E28" t="s">
        <v>309</v>
      </c>
      <c r="F28" t="s">
        <v>310</v>
      </c>
      <c r="G28" t="s">
        <v>311</v>
      </c>
      <c r="H28" t="s">
        <v>312</v>
      </c>
      <c r="I28" t="s">
        <v>313</v>
      </c>
      <c r="J28" t="s">
        <v>314</v>
      </c>
      <c r="K28" s="12">
        <v>44612</v>
      </c>
      <c r="L28" t="s">
        <v>315</v>
      </c>
    </row>
    <row r="29" spans="1:12" x14ac:dyDescent="0.35">
      <c r="A29">
        <v>28</v>
      </c>
      <c r="B29" t="s">
        <v>316</v>
      </c>
      <c r="C29" t="s">
        <v>317</v>
      </c>
      <c r="D29" t="s">
        <v>318</v>
      </c>
      <c r="E29" t="s">
        <v>319</v>
      </c>
      <c r="F29" t="s">
        <v>320</v>
      </c>
      <c r="G29" t="s">
        <v>321</v>
      </c>
      <c r="H29" t="s">
        <v>322</v>
      </c>
      <c r="I29" t="s">
        <v>323</v>
      </c>
      <c r="J29" t="s">
        <v>324</v>
      </c>
      <c r="K29" s="12">
        <v>44707</v>
      </c>
      <c r="L29" t="s">
        <v>325</v>
      </c>
    </row>
    <row r="30" spans="1:12" x14ac:dyDescent="0.35">
      <c r="A30">
        <v>29</v>
      </c>
      <c r="B30" t="s">
        <v>326</v>
      </c>
      <c r="C30" t="s">
        <v>327</v>
      </c>
      <c r="D30" t="s">
        <v>328</v>
      </c>
      <c r="E30" t="s">
        <v>329</v>
      </c>
      <c r="F30" t="s">
        <v>330</v>
      </c>
      <c r="G30" t="s">
        <v>331</v>
      </c>
      <c r="H30" t="s">
        <v>332</v>
      </c>
      <c r="I30" t="s">
        <v>333</v>
      </c>
      <c r="J30" t="s">
        <v>334</v>
      </c>
      <c r="K30" s="12">
        <v>44042</v>
      </c>
      <c r="L30" t="s">
        <v>335</v>
      </c>
    </row>
    <row r="31" spans="1:12" x14ac:dyDescent="0.35">
      <c r="A31">
        <v>30</v>
      </c>
      <c r="B31" t="s">
        <v>336</v>
      </c>
      <c r="C31" t="s">
        <v>337</v>
      </c>
      <c r="D31" t="s">
        <v>338</v>
      </c>
      <c r="E31" t="s">
        <v>339</v>
      </c>
      <c r="F31" t="s">
        <v>340</v>
      </c>
      <c r="G31" t="s">
        <v>341</v>
      </c>
      <c r="H31" t="s">
        <v>342</v>
      </c>
      <c r="I31" t="s">
        <v>343</v>
      </c>
      <c r="J31" t="s">
        <v>344</v>
      </c>
      <c r="K31" s="12">
        <v>43947</v>
      </c>
      <c r="L31" t="s">
        <v>345</v>
      </c>
    </row>
    <row r="32" spans="1:12" x14ac:dyDescent="0.35">
      <c r="A32">
        <v>31</v>
      </c>
      <c r="B32" t="s">
        <v>346</v>
      </c>
      <c r="C32" t="s">
        <v>347</v>
      </c>
      <c r="D32" t="s">
        <v>348</v>
      </c>
      <c r="E32" t="s">
        <v>349</v>
      </c>
      <c r="F32" t="s">
        <v>350</v>
      </c>
      <c r="G32" t="s">
        <v>351</v>
      </c>
      <c r="H32" t="s">
        <v>352</v>
      </c>
      <c r="I32" t="s">
        <v>353</v>
      </c>
      <c r="J32" t="s">
        <v>354</v>
      </c>
      <c r="K32" s="12">
        <v>44454</v>
      </c>
      <c r="L32" t="s">
        <v>355</v>
      </c>
    </row>
    <row r="33" spans="1:12" x14ac:dyDescent="0.35">
      <c r="A33">
        <v>32</v>
      </c>
      <c r="B33" t="s">
        <v>356</v>
      </c>
      <c r="C33" t="s">
        <v>357</v>
      </c>
      <c r="D33" t="s">
        <v>358</v>
      </c>
      <c r="E33" t="s">
        <v>359</v>
      </c>
      <c r="F33" t="s">
        <v>360</v>
      </c>
      <c r="G33" t="s">
        <v>361</v>
      </c>
      <c r="H33" t="s">
        <v>362</v>
      </c>
      <c r="I33" t="s">
        <v>363</v>
      </c>
      <c r="J33" t="s">
        <v>364</v>
      </c>
      <c r="K33" s="12">
        <v>44574</v>
      </c>
      <c r="L33" t="s">
        <v>365</v>
      </c>
    </row>
    <row r="34" spans="1:12" x14ac:dyDescent="0.35">
      <c r="A34">
        <v>33</v>
      </c>
      <c r="B34" t="s">
        <v>366</v>
      </c>
      <c r="C34" t="s">
        <v>367</v>
      </c>
      <c r="D34" t="s">
        <v>368</v>
      </c>
      <c r="E34" t="s">
        <v>369</v>
      </c>
      <c r="F34" t="s">
        <v>370</v>
      </c>
      <c r="G34" t="s">
        <v>371</v>
      </c>
      <c r="H34" t="s">
        <v>372</v>
      </c>
      <c r="I34" t="s">
        <v>373</v>
      </c>
      <c r="J34" t="s">
        <v>374</v>
      </c>
      <c r="K34" s="12">
        <v>44310</v>
      </c>
      <c r="L34" t="s">
        <v>375</v>
      </c>
    </row>
    <row r="35" spans="1:12" x14ac:dyDescent="0.35">
      <c r="A35">
        <v>34</v>
      </c>
      <c r="B35" t="s">
        <v>376</v>
      </c>
      <c r="C35" t="s">
        <v>377</v>
      </c>
      <c r="D35" t="s">
        <v>378</v>
      </c>
      <c r="E35" t="s">
        <v>379</v>
      </c>
      <c r="F35" t="s">
        <v>380</v>
      </c>
      <c r="G35" t="s">
        <v>381</v>
      </c>
      <c r="H35" t="s">
        <v>382</v>
      </c>
      <c r="I35" t="s">
        <v>383</v>
      </c>
      <c r="J35" t="s">
        <v>384</v>
      </c>
      <c r="K35" s="12">
        <v>44460</v>
      </c>
      <c r="L35" t="s">
        <v>385</v>
      </c>
    </row>
    <row r="36" spans="1:12" x14ac:dyDescent="0.35">
      <c r="A36">
        <v>35</v>
      </c>
      <c r="B36" t="s">
        <v>386</v>
      </c>
      <c r="C36" t="s">
        <v>189</v>
      </c>
      <c r="D36" t="s">
        <v>387</v>
      </c>
      <c r="E36" t="s">
        <v>388</v>
      </c>
      <c r="F36" t="s">
        <v>389</v>
      </c>
      <c r="G36" t="s">
        <v>390</v>
      </c>
      <c r="H36" t="s">
        <v>391</v>
      </c>
      <c r="I36" t="s">
        <v>392</v>
      </c>
      <c r="J36" t="s">
        <v>393</v>
      </c>
      <c r="K36" s="12">
        <v>44503</v>
      </c>
      <c r="L36" t="s">
        <v>394</v>
      </c>
    </row>
    <row r="37" spans="1:12" x14ac:dyDescent="0.35">
      <c r="A37">
        <v>36</v>
      </c>
      <c r="B37" t="s">
        <v>395</v>
      </c>
      <c r="C37" t="s">
        <v>396</v>
      </c>
      <c r="D37" t="s">
        <v>397</v>
      </c>
      <c r="E37" t="s">
        <v>398</v>
      </c>
      <c r="F37" t="s">
        <v>399</v>
      </c>
      <c r="G37" t="s">
        <v>400</v>
      </c>
      <c r="H37" t="s">
        <v>401</v>
      </c>
      <c r="I37" t="s">
        <v>402</v>
      </c>
      <c r="J37" t="s">
        <v>403</v>
      </c>
      <c r="K37" s="12">
        <v>44565</v>
      </c>
      <c r="L37" t="s">
        <v>404</v>
      </c>
    </row>
    <row r="38" spans="1:12" x14ac:dyDescent="0.35">
      <c r="A38">
        <v>37</v>
      </c>
      <c r="B38" t="s">
        <v>405</v>
      </c>
      <c r="C38" t="s">
        <v>406</v>
      </c>
      <c r="D38" t="s">
        <v>407</v>
      </c>
      <c r="E38" t="s">
        <v>408</v>
      </c>
      <c r="F38" t="s">
        <v>409</v>
      </c>
      <c r="G38" t="s">
        <v>410</v>
      </c>
      <c r="H38" t="s">
        <v>411</v>
      </c>
      <c r="I38" t="s">
        <v>412</v>
      </c>
      <c r="J38" t="s">
        <v>413</v>
      </c>
      <c r="K38" s="12">
        <v>44418</v>
      </c>
      <c r="L38" t="s">
        <v>414</v>
      </c>
    </row>
    <row r="39" spans="1:12" x14ac:dyDescent="0.35">
      <c r="A39">
        <v>38</v>
      </c>
      <c r="B39" t="s">
        <v>415</v>
      </c>
      <c r="C39" t="s">
        <v>416</v>
      </c>
      <c r="D39" t="s">
        <v>417</v>
      </c>
      <c r="E39" t="s">
        <v>418</v>
      </c>
      <c r="F39" t="s">
        <v>419</v>
      </c>
      <c r="G39" t="s">
        <v>420</v>
      </c>
      <c r="H39" t="s">
        <v>421</v>
      </c>
      <c r="I39" t="s">
        <v>422</v>
      </c>
      <c r="J39" t="s">
        <v>423</v>
      </c>
      <c r="K39" s="12">
        <v>44251</v>
      </c>
      <c r="L39" t="s">
        <v>424</v>
      </c>
    </row>
    <row r="40" spans="1:12" x14ac:dyDescent="0.35">
      <c r="A40">
        <v>39</v>
      </c>
      <c r="B40" t="s">
        <v>425</v>
      </c>
      <c r="C40" t="s">
        <v>426</v>
      </c>
      <c r="D40" t="s">
        <v>427</v>
      </c>
      <c r="E40" t="s">
        <v>428</v>
      </c>
      <c r="F40" t="s">
        <v>429</v>
      </c>
      <c r="G40" t="s">
        <v>430</v>
      </c>
      <c r="H40" t="s">
        <v>431</v>
      </c>
      <c r="I40" t="s">
        <v>432</v>
      </c>
      <c r="J40" t="s">
        <v>433</v>
      </c>
      <c r="K40" s="12">
        <v>44491</v>
      </c>
      <c r="L40" t="s">
        <v>434</v>
      </c>
    </row>
    <row r="41" spans="1:12" x14ac:dyDescent="0.35">
      <c r="A41">
        <v>40</v>
      </c>
      <c r="B41" t="s">
        <v>435</v>
      </c>
      <c r="C41" t="s">
        <v>436</v>
      </c>
      <c r="D41" t="s">
        <v>437</v>
      </c>
      <c r="E41" t="s">
        <v>438</v>
      </c>
      <c r="F41" t="s">
        <v>439</v>
      </c>
      <c r="G41" t="s">
        <v>440</v>
      </c>
      <c r="H41" t="s">
        <v>441</v>
      </c>
      <c r="I41" t="s">
        <v>442</v>
      </c>
      <c r="J41" t="s">
        <v>443</v>
      </c>
      <c r="K41" s="12">
        <v>44501</v>
      </c>
      <c r="L41" t="s">
        <v>444</v>
      </c>
    </row>
    <row r="42" spans="1:12" x14ac:dyDescent="0.35">
      <c r="A42">
        <v>41</v>
      </c>
      <c r="B42" t="s">
        <v>445</v>
      </c>
      <c r="C42" t="s">
        <v>446</v>
      </c>
      <c r="D42" t="s">
        <v>447</v>
      </c>
      <c r="E42" t="s">
        <v>448</v>
      </c>
      <c r="F42" t="s">
        <v>449</v>
      </c>
      <c r="G42" t="s">
        <v>84</v>
      </c>
      <c r="H42" t="s">
        <v>450</v>
      </c>
      <c r="I42" t="s">
        <v>451</v>
      </c>
      <c r="J42" t="s">
        <v>452</v>
      </c>
      <c r="K42" s="12">
        <v>44114</v>
      </c>
      <c r="L42" t="s">
        <v>453</v>
      </c>
    </row>
    <row r="43" spans="1:12" x14ac:dyDescent="0.35">
      <c r="A43">
        <v>42</v>
      </c>
      <c r="B43" t="s">
        <v>454</v>
      </c>
      <c r="C43" t="s">
        <v>455</v>
      </c>
      <c r="D43" t="s">
        <v>456</v>
      </c>
      <c r="E43" t="s">
        <v>457</v>
      </c>
      <c r="F43" t="s">
        <v>458</v>
      </c>
      <c r="G43" t="s">
        <v>459</v>
      </c>
      <c r="H43" t="s">
        <v>460</v>
      </c>
      <c r="I43" t="s">
        <v>461</v>
      </c>
      <c r="J43" t="s">
        <v>462</v>
      </c>
      <c r="K43" s="12">
        <v>44447</v>
      </c>
      <c r="L43" t="s">
        <v>463</v>
      </c>
    </row>
    <row r="44" spans="1:12" x14ac:dyDescent="0.35">
      <c r="A44">
        <v>43</v>
      </c>
      <c r="B44" t="s">
        <v>464</v>
      </c>
      <c r="C44" t="s">
        <v>465</v>
      </c>
      <c r="D44" t="s">
        <v>466</v>
      </c>
      <c r="E44" t="s">
        <v>467</v>
      </c>
      <c r="F44" t="s">
        <v>468</v>
      </c>
      <c r="G44" t="s">
        <v>469</v>
      </c>
      <c r="H44" t="s">
        <v>470</v>
      </c>
      <c r="I44" t="s">
        <v>471</v>
      </c>
      <c r="J44" t="s">
        <v>472</v>
      </c>
      <c r="K44" s="12">
        <v>44178</v>
      </c>
      <c r="L44" t="s">
        <v>473</v>
      </c>
    </row>
    <row r="45" spans="1:12" x14ac:dyDescent="0.35">
      <c r="A45">
        <v>44</v>
      </c>
      <c r="B45" t="s">
        <v>474</v>
      </c>
      <c r="C45" t="s">
        <v>475</v>
      </c>
      <c r="D45" t="s">
        <v>476</v>
      </c>
      <c r="E45" t="s">
        <v>477</v>
      </c>
      <c r="F45" t="s">
        <v>478</v>
      </c>
      <c r="G45" t="s">
        <v>124</v>
      </c>
      <c r="H45" t="s">
        <v>479</v>
      </c>
      <c r="I45" t="s">
        <v>480</v>
      </c>
      <c r="J45" t="s">
        <v>481</v>
      </c>
      <c r="K45" s="12">
        <v>44696</v>
      </c>
      <c r="L45" t="s">
        <v>482</v>
      </c>
    </row>
    <row r="46" spans="1:12" x14ac:dyDescent="0.35">
      <c r="A46">
        <v>45</v>
      </c>
      <c r="B46" t="s">
        <v>483</v>
      </c>
      <c r="C46" t="s">
        <v>484</v>
      </c>
      <c r="D46" t="s">
        <v>485</v>
      </c>
      <c r="E46" t="s">
        <v>486</v>
      </c>
      <c r="F46" t="s">
        <v>487</v>
      </c>
      <c r="G46" t="s">
        <v>488</v>
      </c>
      <c r="H46" t="s">
        <v>489</v>
      </c>
      <c r="I46" t="s">
        <v>490</v>
      </c>
      <c r="J46" t="s">
        <v>491</v>
      </c>
      <c r="K46" s="12">
        <v>44536</v>
      </c>
      <c r="L46" t="s">
        <v>492</v>
      </c>
    </row>
    <row r="47" spans="1:12" x14ac:dyDescent="0.35">
      <c r="A47">
        <v>46</v>
      </c>
      <c r="B47" t="s">
        <v>493</v>
      </c>
      <c r="C47" t="s">
        <v>494</v>
      </c>
      <c r="D47" t="s">
        <v>495</v>
      </c>
      <c r="E47" t="s">
        <v>496</v>
      </c>
      <c r="F47" t="s">
        <v>497</v>
      </c>
      <c r="G47" t="s">
        <v>498</v>
      </c>
      <c r="H47" t="s">
        <v>499</v>
      </c>
      <c r="I47" t="s">
        <v>500</v>
      </c>
      <c r="J47" t="s">
        <v>501</v>
      </c>
      <c r="K47" s="12">
        <v>44013</v>
      </c>
      <c r="L47" t="s">
        <v>502</v>
      </c>
    </row>
    <row r="48" spans="1:12" x14ac:dyDescent="0.35">
      <c r="A48">
        <v>47</v>
      </c>
      <c r="B48" t="s">
        <v>503</v>
      </c>
      <c r="C48" t="s">
        <v>504</v>
      </c>
      <c r="D48" t="s">
        <v>505</v>
      </c>
      <c r="E48" t="s">
        <v>506</v>
      </c>
      <c r="F48" t="s">
        <v>507</v>
      </c>
      <c r="G48" t="s">
        <v>508</v>
      </c>
      <c r="H48" t="s">
        <v>509</v>
      </c>
      <c r="I48" t="s">
        <v>510</v>
      </c>
      <c r="J48" t="s">
        <v>511</v>
      </c>
      <c r="K48" s="12">
        <v>43944</v>
      </c>
      <c r="L48" t="s">
        <v>512</v>
      </c>
    </row>
    <row r="49" spans="1:12" x14ac:dyDescent="0.35">
      <c r="A49">
        <v>48</v>
      </c>
      <c r="B49" t="s">
        <v>513</v>
      </c>
      <c r="C49" t="s">
        <v>514</v>
      </c>
      <c r="D49" t="s">
        <v>515</v>
      </c>
      <c r="E49" t="s">
        <v>516</v>
      </c>
      <c r="F49" t="s">
        <v>517</v>
      </c>
      <c r="G49" t="s">
        <v>518</v>
      </c>
      <c r="H49" t="s">
        <v>519</v>
      </c>
      <c r="I49" t="s">
        <v>520</v>
      </c>
      <c r="J49" t="s">
        <v>521</v>
      </c>
      <c r="K49" s="12">
        <v>44631</v>
      </c>
      <c r="L49" t="s">
        <v>522</v>
      </c>
    </row>
    <row r="50" spans="1:12" x14ac:dyDescent="0.35">
      <c r="A50">
        <v>49</v>
      </c>
      <c r="B50" t="s">
        <v>523</v>
      </c>
      <c r="C50" t="s">
        <v>524</v>
      </c>
      <c r="D50" t="s">
        <v>525</v>
      </c>
      <c r="E50" t="s">
        <v>526</v>
      </c>
      <c r="F50" t="s">
        <v>527</v>
      </c>
      <c r="G50" t="s">
        <v>528</v>
      </c>
      <c r="H50" t="s">
        <v>529</v>
      </c>
      <c r="I50" t="s">
        <v>530</v>
      </c>
      <c r="J50" t="s">
        <v>531</v>
      </c>
      <c r="K50" s="12">
        <v>44630</v>
      </c>
      <c r="L50" t="s">
        <v>532</v>
      </c>
    </row>
    <row r="51" spans="1:12" x14ac:dyDescent="0.35">
      <c r="A51">
        <v>50</v>
      </c>
      <c r="B51" t="s">
        <v>533</v>
      </c>
      <c r="C51" t="s">
        <v>534</v>
      </c>
      <c r="D51" t="s">
        <v>535</v>
      </c>
      <c r="E51" t="s">
        <v>536</v>
      </c>
      <c r="F51" t="s">
        <v>537</v>
      </c>
      <c r="G51" t="s">
        <v>311</v>
      </c>
      <c r="H51" t="s">
        <v>538</v>
      </c>
      <c r="I51" t="s">
        <v>539</v>
      </c>
      <c r="J51" t="s">
        <v>540</v>
      </c>
      <c r="K51" s="12">
        <v>44532</v>
      </c>
      <c r="L51" t="s">
        <v>541</v>
      </c>
    </row>
    <row r="52" spans="1:12" x14ac:dyDescent="0.35">
      <c r="A52">
        <v>51</v>
      </c>
      <c r="B52" t="s">
        <v>542</v>
      </c>
      <c r="C52" t="s">
        <v>543</v>
      </c>
      <c r="D52" t="s">
        <v>544</v>
      </c>
      <c r="E52" t="s">
        <v>545</v>
      </c>
      <c r="F52" t="s">
        <v>546</v>
      </c>
      <c r="G52" t="s">
        <v>547</v>
      </c>
      <c r="H52" t="s">
        <v>548</v>
      </c>
      <c r="I52" t="s">
        <v>549</v>
      </c>
      <c r="J52" t="s">
        <v>550</v>
      </c>
      <c r="K52" s="12">
        <v>44274</v>
      </c>
      <c r="L52" t="s">
        <v>551</v>
      </c>
    </row>
    <row r="53" spans="1:12" x14ac:dyDescent="0.35">
      <c r="A53">
        <v>52</v>
      </c>
      <c r="B53" t="s">
        <v>552</v>
      </c>
      <c r="C53" t="s">
        <v>553</v>
      </c>
      <c r="D53" t="s">
        <v>554</v>
      </c>
      <c r="E53" t="s">
        <v>555</v>
      </c>
      <c r="F53" t="s">
        <v>556</v>
      </c>
      <c r="G53" t="s">
        <v>557</v>
      </c>
      <c r="H53" t="s">
        <v>558</v>
      </c>
      <c r="I53" t="s">
        <v>559</v>
      </c>
      <c r="J53" t="s">
        <v>560</v>
      </c>
      <c r="K53" s="12">
        <v>44282</v>
      </c>
      <c r="L53" t="s">
        <v>561</v>
      </c>
    </row>
    <row r="54" spans="1:12" x14ac:dyDescent="0.35">
      <c r="A54">
        <v>53</v>
      </c>
      <c r="B54" t="s">
        <v>562</v>
      </c>
      <c r="C54" t="s">
        <v>563</v>
      </c>
      <c r="D54" t="s">
        <v>564</v>
      </c>
      <c r="E54" t="s">
        <v>565</v>
      </c>
      <c r="F54" t="s">
        <v>566</v>
      </c>
      <c r="G54" t="s">
        <v>567</v>
      </c>
      <c r="H54" t="s">
        <v>568</v>
      </c>
      <c r="I54" t="s">
        <v>569</v>
      </c>
      <c r="J54" t="s">
        <v>570</v>
      </c>
      <c r="K54" s="12">
        <v>44263</v>
      </c>
      <c r="L54" t="s">
        <v>571</v>
      </c>
    </row>
    <row r="55" spans="1:12" x14ac:dyDescent="0.35">
      <c r="A55">
        <v>54</v>
      </c>
      <c r="B55" t="s">
        <v>572</v>
      </c>
      <c r="C55" t="s">
        <v>573</v>
      </c>
      <c r="D55" t="s">
        <v>574</v>
      </c>
      <c r="E55" t="s">
        <v>575</v>
      </c>
      <c r="F55" t="s">
        <v>576</v>
      </c>
      <c r="G55" t="s">
        <v>577</v>
      </c>
      <c r="H55" t="s">
        <v>578</v>
      </c>
      <c r="I55" t="s">
        <v>579</v>
      </c>
      <c r="J55" t="s">
        <v>580</v>
      </c>
      <c r="K55" s="12">
        <v>44119</v>
      </c>
      <c r="L55" t="s">
        <v>581</v>
      </c>
    </row>
    <row r="56" spans="1:12" x14ac:dyDescent="0.35">
      <c r="A56">
        <v>55</v>
      </c>
      <c r="B56" t="s">
        <v>582</v>
      </c>
      <c r="C56" t="s">
        <v>583</v>
      </c>
      <c r="D56" t="s">
        <v>584</v>
      </c>
      <c r="E56" t="s">
        <v>585</v>
      </c>
      <c r="F56" t="s">
        <v>586</v>
      </c>
      <c r="G56" t="s">
        <v>587</v>
      </c>
      <c r="H56" t="s">
        <v>588</v>
      </c>
      <c r="I56" t="s">
        <v>589</v>
      </c>
      <c r="J56" t="s">
        <v>590</v>
      </c>
      <c r="K56" s="12">
        <v>44574</v>
      </c>
      <c r="L56" t="s">
        <v>591</v>
      </c>
    </row>
    <row r="57" spans="1:12" x14ac:dyDescent="0.35">
      <c r="A57">
        <v>56</v>
      </c>
      <c r="B57" t="s">
        <v>592</v>
      </c>
      <c r="C57" t="s">
        <v>593</v>
      </c>
      <c r="D57" t="s">
        <v>594</v>
      </c>
      <c r="E57" t="s">
        <v>595</v>
      </c>
      <c r="F57" t="s">
        <v>596</v>
      </c>
      <c r="G57" t="s">
        <v>597</v>
      </c>
      <c r="H57" t="s">
        <v>598</v>
      </c>
      <c r="I57" t="s">
        <v>599</v>
      </c>
      <c r="J57" t="s">
        <v>600</v>
      </c>
      <c r="K57" s="12">
        <v>43976</v>
      </c>
      <c r="L57" t="s">
        <v>601</v>
      </c>
    </row>
    <row r="58" spans="1:12" x14ac:dyDescent="0.35">
      <c r="A58">
        <v>57</v>
      </c>
      <c r="B58" t="s">
        <v>602</v>
      </c>
      <c r="C58" t="s">
        <v>603</v>
      </c>
      <c r="D58" t="s">
        <v>604</v>
      </c>
      <c r="E58" t="s">
        <v>605</v>
      </c>
      <c r="F58" t="s">
        <v>606</v>
      </c>
      <c r="G58" t="s">
        <v>607</v>
      </c>
      <c r="H58" t="s">
        <v>608</v>
      </c>
      <c r="I58" t="s">
        <v>609</v>
      </c>
      <c r="J58" t="s">
        <v>610</v>
      </c>
      <c r="K58" s="12">
        <v>44221</v>
      </c>
      <c r="L58" t="s">
        <v>611</v>
      </c>
    </row>
    <row r="59" spans="1:12" x14ac:dyDescent="0.35">
      <c r="A59">
        <v>58</v>
      </c>
      <c r="B59" t="s">
        <v>612</v>
      </c>
      <c r="C59" t="s">
        <v>613</v>
      </c>
      <c r="D59" t="s">
        <v>614</v>
      </c>
      <c r="E59" t="s">
        <v>615</v>
      </c>
      <c r="F59" t="s">
        <v>616</v>
      </c>
      <c r="G59" t="s">
        <v>528</v>
      </c>
      <c r="H59" t="s">
        <v>617</v>
      </c>
      <c r="I59" t="s">
        <v>618</v>
      </c>
      <c r="J59" t="s">
        <v>619</v>
      </c>
      <c r="K59" s="12">
        <v>44272</v>
      </c>
      <c r="L59" t="s">
        <v>620</v>
      </c>
    </row>
    <row r="60" spans="1:12" x14ac:dyDescent="0.35">
      <c r="A60">
        <v>59</v>
      </c>
      <c r="B60" t="s">
        <v>621</v>
      </c>
      <c r="C60" t="s">
        <v>622</v>
      </c>
      <c r="D60" t="s">
        <v>623</v>
      </c>
      <c r="E60" t="s">
        <v>624</v>
      </c>
      <c r="F60" t="s">
        <v>625</v>
      </c>
      <c r="G60" t="s">
        <v>232</v>
      </c>
      <c r="H60" t="s">
        <v>626</v>
      </c>
      <c r="I60" t="s">
        <v>627</v>
      </c>
      <c r="J60" t="s">
        <v>628</v>
      </c>
      <c r="K60" s="12">
        <v>44150</v>
      </c>
      <c r="L60" t="s">
        <v>629</v>
      </c>
    </row>
    <row r="61" spans="1:12" x14ac:dyDescent="0.35">
      <c r="A61">
        <v>60</v>
      </c>
      <c r="B61" t="s">
        <v>630</v>
      </c>
      <c r="C61" t="s">
        <v>631</v>
      </c>
      <c r="D61" t="s">
        <v>632</v>
      </c>
      <c r="E61" t="s">
        <v>633</v>
      </c>
      <c r="F61" t="s">
        <v>634</v>
      </c>
      <c r="G61" t="s">
        <v>635</v>
      </c>
      <c r="H61" t="s">
        <v>636</v>
      </c>
      <c r="I61" t="s">
        <v>637</v>
      </c>
      <c r="J61" t="s">
        <v>638</v>
      </c>
      <c r="K61" s="12">
        <v>44185</v>
      </c>
      <c r="L61" t="s">
        <v>639</v>
      </c>
    </row>
    <row r="62" spans="1:12" x14ac:dyDescent="0.35">
      <c r="A62">
        <v>61</v>
      </c>
      <c r="B62" t="s">
        <v>640</v>
      </c>
      <c r="C62" t="s">
        <v>641</v>
      </c>
      <c r="D62" t="s">
        <v>642</v>
      </c>
      <c r="E62" t="s">
        <v>643</v>
      </c>
      <c r="F62" t="s">
        <v>644</v>
      </c>
      <c r="G62" t="s">
        <v>645</v>
      </c>
      <c r="H62" t="s">
        <v>646</v>
      </c>
      <c r="I62" t="s">
        <v>647</v>
      </c>
      <c r="J62" t="s">
        <v>648</v>
      </c>
      <c r="K62" s="12">
        <v>44064</v>
      </c>
      <c r="L62" t="s">
        <v>649</v>
      </c>
    </row>
    <row r="63" spans="1:12" x14ac:dyDescent="0.35">
      <c r="A63">
        <v>62</v>
      </c>
      <c r="B63" t="s">
        <v>650</v>
      </c>
      <c r="C63" t="s">
        <v>651</v>
      </c>
      <c r="D63" t="s">
        <v>652</v>
      </c>
      <c r="E63" t="s">
        <v>653</v>
      </c>
      <c r="F63" t="s">
        <v>654</v>
      </c>
      <c r="G63" t="s">
        <v>173</v>
      </c>
      <c r="H63" t="s">
        <v>655</v>
      </c>
      <c r="I63" t="s">
        <v>656</v>
      </c>
      <c r="J63" t="s">
        <v>657</v>
      </c>
      <c r="K63" s="12">
        <v>44175</v>
      </c>
      <c r="L63" t="s">
        <v>658</v>
      </c>
    </row>
    <row r="64" spans="1:12" x14ac:dyDescent="0.35">
      <c r="A64">
        <v>63</v>
      </c>
      <c r="B64" t="s">
        <v>659</v>
      </c>
      <c r="C64" t="s">
        <v>660</v>
      </c>
      <c r="D64" t="s">
        <v>661</v>
      </c>
      <c r="E64" t="s">
        <v>662</v>
      </c>
      <c r="F64" t="s">
        <v>663</v>
      </c>
      <c r="G64" t="s">
        <v>664</v>
      </c>
      <c r="H64" t="s">
        <v>665</v>
      </c>
      <c r="I64" t="s">
        <v>666</v>
      </c>
      <c r="J64" t="s">
        <v>667</v>
      </c>
      <c r="K64" s="12">
        <v>44644</v>
      </c>
      <c r="L64" t="s">
        <v>668</v>
      </c>
    </row>
    <row r="65" spans="1:12" x14ac:dyDescent="0.35">
      <c r="A65">
        <v>64</v>
      </c>
      <c r="B65" t="s">
        <v>669</v>
      </c>
      <c r="C65" t="s">
        <v>670</v>
      </c>
      <c r="D65" t="s">
        <v>671</v>
      </c>
      <c r="E65" t="s">
        <v>230</v>
      </c>
      <c r="F65" t="s">
        <v>672</v>
      </c>
      <c r="G65" t="s">
        <v>261</v>
      </c>
      <c r="H65" t="s">
        <v>673</v>
      </c>
      <c r="I65" t="s">
        <v>674</v>
      </c>
      <c r="J65" t="s">
        <v>675</v>
      </c>
      <c r="K65" s="12">
        <v>44696</v>
      </c>
      <c r="L65" t="s">
        <v>676</v>
      </c>
    </row>
    <row r="66" spans="1:12" x14ac:dyDescent="0.35">
      <c r="A66">
        <v>65</v>
      </c>
      <c r="B66" t="s">
        <v>677</v>
      </c>
      <c r="C66" t="s">
        <v>678</v>
      </c>
      <c r="D66" t="s">
        <v>679</v>
      </c>
      <c r="E66" t="s">
        <v>680</v>
      </c>
      <c r="F66" t="s">
        <v>681</v>
      </c>
      <c r="G66" t="s">
        <v>682</v>
      </c>
      <c r="H66" t="s">
        <v>683</v>
      </c>
      <c r="I66" t="s">
        <v>684</v>
      </c>
      <c r="J66" t="s">
        <v>685</v>
      </c>
      <c r="K66" s="12">
        <v>44198</v>
      </c>
      <c r="L66" t="s">
        <v>686</v>
      </c>
    </row>
    <row r="67" spans="1:12" x14ac:dyDescent="0.35">
      <c r="A67">
        <v>66</v>
      </c>
      <c r="B67" t="s">
        <v>687</v>
      </c>
      <c r="C67" t="s">
        <v>688</v>
      </c>
      <c r="D67" t="s">
        <v>689</v>
      </c>
      <c r="E67" t="s">
        <v>690</v>
      </c>
      <c r="F67" t="s">
        <v>691</v>
      </c>
      <c r="G67" t="s">
        <v>692</v>
      </c>
      <c r="H67" t="s">
        <v>693</v>
      </c>
      <c r="I67" t="s">
        <v>694</v>
      </c>
      <c r="J67" t="s">
        <v>695</v>
      </c>
      <c r="K67" s="12">
        <v>44309</v>
      </c>
      <c r="L67" t="s">
        <v>696</v>
      </c>
    </row>
    <row r="68" spans="1:12" x14ac:dyDescent="0.35">
      <c r="A68">
        <v>67</v>
      </c>
      <c r="B68" t="s">
        <v>697</v>
      </c>
      <c r="C68" t="s">
        <v>698</v>
      </c>
      <c r="D68" t="s">
        <v>699</v>
      </c>
      <c r="E68" t="s">
        <v>700</v>
      </c>
      <c r="F68" t="s">
        <v>701</v>
      </c>
      <c r="G68" t="s">
        <v>702</v>
      </c>
      <c r="H68" t="s">
        <v>703</v>
      </c>
      <c r="I68" t="s">
        <v>704</v>
      </c>
      <c r="J68" t="s">
        <v>705</v>
      </c>
      <c r="K68" s="12">
        <v>43850</v>
      </c>
      <c r="L68" t="s">
        <v>706</v>
      </c>
    </row>
    <row r="69" spans="1:12" x14ac:dyDescent="0.35">
      <c r="A69">
        <v>68</v>
      </c>
      <c r="B69" t="s">
        <v>707</v>
      </c>
      <c r="C69" t="s">
        <v>357</v>
      </c>
      <c r="D69" t="s">
        <v>708</v>
      </c>
      <c r="E69" t="s">
        <v>709</v>
      </c>
      <c r="F69" t="s">
        <v>710</v>
      </c>
      <c r="G69" t="s">
        <v>711</v>
      </c>
      <c r="H69" t="s">
        <v>712</v>
      </c>
      <c r="I69" t="s">
        <v>713</v>
      </c>
      <c r="J69" t="s">
        <v>714</v>
      </c>
      <c r="K69" s="12">
        <v>44061</v>
      </c>
      <c r="L69" t="s">
        <v>715</v>
      </c>
    </row>
    <row r="70" spans="1:12" x14ac:dyDescent="0.35">
      <c r="A70">
        <v>69</v>
      </c>
      <c r="B70" t="s">
        <v>716</v>
      </c>
      <c r="C70" t="s">
        <v>717</v>
      </c>
      <c r="D70" t="s">
        <v>718</v>
      </c>
      <c r="E70" t="s">
        <v>719</v>
      </c>
      <c r="F70" t="s">
        <v>720</v>
      </c>
      <c r="G70" t="s">
        <v>721</v>
      </c>
      <c r="H70" t="s">
        <v>722</v>
      </c>
      <c r="I70" t="s">
        <v>723</v>
      </c>
      <c r="J70" t="s">
        <v>724</v>
      </c>
      <c r="K70" s="12">
        <v>44227</v>
      </c>
      <c r="L70" t="s">
        <v>725</v>
      </c>
    </row>
    <row r="71" spans="1:12" x14ac:dyDescent="0.35">
      <c r="A71">
        <v>70</v>
      </c>
      <c r="B71" t="s">
        <v>726</v>
      </c>
      <c r="C71" t="s">
        <v>727</v>
      </c>
      <c r="D71" t="s">
        <v>728</v>
      </c>
      <c r="E71" t="s">
        <v>729</v>
      </c>
      <c r="F71" t="s">
        <v>730</v>
      </c>
      <c r="G71" t="s">
        <v>547</v>
      </c>
      <c r="H71" t="s">
        <v>731</v>
      </c>
      <c r="I71" t="s">
        <v>732</v>
      </c>
      <c r="J71" t="s">
        <v>733</v>
      </c>
      <c r="K71" s="12">
        <v>43864</v>
      </c>
      <c r="L71" t="s">
        <v>734</v>
      </c>
    </row>
    <row r="72" spans="1:12" x14ac:dyDescent="0.35">
      <c r="A72">
        <v>71</v>
      </c>
      <c r="B72" t="s">
        <v>735</v>
      </c>
      <c r="C72" t="s">
        <v>736</v>
      </c>
      <c r="D72" t="s">
        <v>737</v>
      </c>
      <c r="E72" t="s">
        <v>738</v>
      </c>
      <c r="F72" t="s">
        <v>739</v>
      </c>
      <c r="G72" t="s">
        <v>740</v>
      </c>
      <c r="H72" t="s">
        <v>741</v>
      </c>
      <c r="I72" t="s">
        <v>742</v>
      </c>
      <c r="J72" t="s">
        <v>743</v>
      </c>
      <c r="K72" s="12">
        <v>44247</v>
      </c>
      <c r="L72" t="s">
        <v>744</v>
      </c>
    </row>
    <row r="73" spans="1:12" x14ac:dyDescent="0.35">
      <c r="A73">
        <v>72</v>
      </c>
      <c r="B73" t="s">
        <v>745</v>
      </c>
      <c r="C73" t="s">
        <v>574</v>
      </c>
      <c r="D73" t="s">
        <v>746</v>
      </c>
      <c r="E73" t="s">
        <v>747</v>
      </c>
      <c r="F73" t="s">
        <v>748</v>
      </c>
      <c r="G73" t="s">
        <v>749</v>
      </c>
      <c r="H73" t="s">
        <v>750</v>
      </c>
      <c r="I73" t="s">
        <v>751</v>
      </c>
      <c r="J73" t="s">
        <v>752</v>
      </c>
      <c r="K73" s="12">
        <v>43884</v>
      </c>
      <c r="L73" t="s">
        <v>753</v>
      </c>
    </row>
    <row r="74" spans="1:12" x14ac:dyDescent="0.35">
      <c r="A74">
        <v>73</v>
      </c>
      <c r="B74" t="s">
        <v>754</v>
      </c>
      <c r="C74" t="s">
        <v>755</v>
      </c>
      <c r="D74" t="s">
        <v>756</v>
      </c>
      <c r="E74" t="s">
        <v>757</v>
      </c>
      <c r="F74" t="s">
        <v>758</v>
      </c>
      <c r="G74" t="s">
        <v>351</v>
      </c>
      <c r="H74" t="s">
        <v>759</v>
      </c>
      <c r="I74" t="s">
        <v>760</v>
      </c>
      <c r="J74" t="s">
        <v>761</v>
      </c>
      <c r="K74" s="12">
        <v>44065</v>
      </c>
      <c r="L74" t="s">
        <v>762</v>
      </c>
    </row>
    <row r="75" spans="1:12" x14ac:dyDescent="0.35">
      <c r="A75">
        <v>74</v>
      </c>
      <c r="B75" t="s">
        <v>763</v>
      </c>
      <c r="C75" t="s">
        <v>764</v>
      </c>
      <c r="D75" t="s">
        <v>765</v>
      </c>
      <c r="E75" t="s">
        <v>766</v>
      </c>
      <c r="F75" t="s">
        <v>767</v>
      </c>
      <c r="G75" t="s">
        <v>768</v>
      </c>
      <c r="H75" t="s">
        <v>769</v>
      </c>
      <c r="I75" t="s">
        <v>770</v>
      </c>
      <c r="J75" t="s">
        <v>771</v>
      </c>
      <c r="K75" s="12">
        <v>43870</v>
      </c>
      <c r="L75" t="s">
        <v>772</v>
      </c>
    </row>
    <row r="76" spans="1:12" x14ac:dyDescent="0.35">
      <c r="A76">
        <v>75</v>
      </c>
      <c r="B76" t="s">
        <v>773</v>
      </c>
      <c r="C76" t="s">
        <v>774</v>
      </c>
      <c r="D76" t="s">
        <v>775</v>
      </c>
      <c r="E76" t="s">
        <v>776</v>
      </c>
      <c r="F76" t="s">
        <v>777</v>
      </c>
      <c r="G76" t="s">
        <v>420</v>
      </c>
      <c r="H76" t="s">
        <v>778</v>
      </c>
      <c r="I76" t="s">
        <v>779</v>
      </c>
      <c r="J76" t="s">
        <v>780</v>
      </c>
      <c r="K76" s="12">
        <v>44576</v>
      </c>
      <c r="L76" t="s">
        <v>781</v>
      </c>
    </row>
    <row r="77" spans="1:12" x14ac:dyDescent="0.35">
      <c r="A77">
        <v>76</v>
      </c>
      <c r="B77" t="s">
        <v>782</v>
      </c>
      <c r="C77" t="s">
        <v>783</v>
      </c>
      <c r="D77" t="s">
        <v>784</v>
      </c>
      <c r="E77" t="s">
        <v>785</v>
      </c>
      <c r="F77" t="s">
        <v>786</v>
      </c>
      <c r="G77" t="s">
        <v>787</v>
      </c>
      <c r="H77" t="s">
        <v>788</v>
      </c>
      <c r="I77" t="s">
        <v>789</v>
      </c>
      <c r="J77" t="s">
        <v>790</v>
      </c>
      <c r="K77" s="12">
        <v>44023</v>
      </c>
      <c r="L77" t="s">
        <v>791</v>
      </c>
    </row>
    <row r="78" spans="1:12" x14ac:dyDescent="0.35">
      <c r="A78">
        <v>77</v>
      </c>
      <c r="B78" t="s">
        <v>792</v>
      </c>
      <c r="C78" t="s">
        <v>793</v>
      </c>
      <c r="D78" t="s">
        <v>794</v>
      </c>
      <c r="E78" t="s">
        <v>795</v>
      </c>
      <c r="F78" t="s">
        <v>796</v>
      </c>
      <c r="G78" t="s">
        <v>797</v>
      </c>
      <c r="H78" t="s">
        <v>798</v>
      </c>
      <c r="I78" t="s">
        <v>799</v>
      </c>
      <c r="J78" t="s">
        <v>800</v>
      </c>
      <c r="K78" s="12">
        <v>44401</v>
      </c>
      <c r="L78" t="s">
        <v>801</v>
      </c>
    </row>
    <row r="79" spans="1:12" x14ac:dyDescent="0.35">
      <c r="A79">
        <v>78</v>
      </c>
      <c r="B79" t="s">
        <v>802</v>
      </c>
      <c r="C79" t="s">
        <v>803</v>
      </c>
      <c r="D79" t="s">
        <v>804</v>
      </c>
      <c r="E79" t="s">
        <v>805</v>
      </c>
      <c r="F79" t="s">
        <v>806</v>
      </c>
      <c r="G79" t="s">
        <v>807</v>
      </c>
      <c r="H79" t="s">
        <v>808</v>
      </c>
      <c r="I79" t="s">
        <v>809</v>
      </c>
      <c r="J79" t="s">
        <v>810</v>
      </c>
      <c r="K79" s="12">
        <v>44125</v>
      </c>
      <c r="L79" t="s">
        <v>811</v>
      </c>
    </row>
    <row r="80" spans="1:12" x14ac:dyDescent="0.35">
      <c r="A80">
        <v>79</v>
      </c>
      <c r="B80" t="s">
        <v>812</v>
      </c>
      <c r="C80" t="s">
        <v>813</v>
      </c>
      <c r="D80" t="s">
        <v>814</v>
      </c>
      <c r="E80" t="s">
        <v>815</v>
      </c>
      <c r="F80" t="s">
        <v>816</v>
      </c>
      <c r="G80" t="s">
        <v>817</v>
      </c>
      <c r="H80" t="s">
        <v>818</v>
      </c>
      <c r="I80" t="s">
        <v>819</v>
      </c>
      <c r="J80" t="s">
        <v>820</v>
      </c>
      <c r="K80" s="12">
        <v>43990</v>
      </c>
      <c r="L80" t="s">
        <v>821</v>
      </c>
    </row>
    <row r="81" spans="1:12" x14ac:dyDescent="0.35">
      <c r="A81">
        <v>80</v>
      </c>
      <c r="B81" t="s">
        <v>822</v>
      </c>
      <c r="C81" t="s">
        <v>823</v>
      </c>
      <c r="D81" t="s">
        <v>824</v>
      </c>
      <c r="E81" t="s">
        <v>825</v>
      </c>
      <c r="F81" t="s">
        <v>826</v>
      </c>
      <c r="G81" t="s">
        <v>827</v>
      </c>
      <c r="H81" t="s">
        <v>828</v>
      </c>
      <c r="I81" t="s">
        <v>829</v>
      </c>
      <c r="J81" t="s">
        <v>830</v>
      </c>
      <c r="K81" s="12">
        <v>44093</v>
      </c>
      <c r="L81" t="s">
        <v>831</v>
      </c>
    </row>
    <row r="82" spans="1:12" x14ac:dyDescent="0.35">
      <c r="A82">
        <v>81</v>
      </c>
      <c r="B82" t="s">
        <v>832</v>
      </c>
      <c r="C82" t="s">
        <v>833</v>
      </c>
      <c r="D82" t="s">
        <v>834</v>
      </c>
      <c r="E82" t="s">
        <v>835</v>
      </c>
      <c r="F82" t="s">
        <v>836</v>
      </c>
      <c r="G82" t="s">
        <v>837</v>
      </c>
      <c r="H82" t="s">
        <v>838</v>
      </c>
      <c r="I82" t="s">
        <v>839</v>
      </c>
      <c r="J82" t="s">
        <v>840</v>
      </c>
      <c r="K82" s="12">
        <v>44513</v>
      </c>
      <c r="L82" t="s">
        <v>841</v>
      </c>
    </row>
    <row r="83" spans="1:12" x14ac:dyDescent="0.35">
      <c r="A83">
        <v>82</v>
      </c>
      <c r="B83" t="s">
        <v>842</v>
      </c>
      <c r="C83" t="s">
        <v>843</v>
      </c>
      <c r="D83" t="s">
        <v>844</v>
      </c>
      <c r="E83" t="s">
        <v>845</v>
      </c>
      <c r="F83" t="s">
        <v>846</v>
      </c>
      <c r="G83" t="s">
        <v>331</v>
      </c>
      <c r="H83" t="s">
        <v>847</v>
      </c>
      <c r="I83" t="s">
        <v>848</v>
      </c>
      <c r="J83" t="s">
        <v>849</v>
      </c>
      <c r="K83" s="12">
        <v>44451</v>
      </c>
      <c r="L83" t="s">
        <v>850</v>
      </c>
    </row>
    <row r="84" spans="1:12" x14ac:dyDescent="0.35">
      <c r="A84">
        <v>83</v>
      </c>
      <c r="B84" t="s">
        <v>851</v>
      </c>
      <c r="C84" t="s">
        <v>852</v>
      </c>
      <c r="D84" t="s">
        <v>853</v>
      </c>
      <c r="E84" t="s">
        <v>854</v>
      </c>
      <c r="F84" t="s">
        <v>855</v>
      </c>
      <c r="G84" t="s">
        <v>856</v>
      </c>
      <c r="H84" t="s">
        <v>857</v>
      </c>
      <c r="I84" t="s">
        <v>858</v>
      </c>
      <c r="J84" t="s">
        <v>859</v>
      </c>
      <c r="K84" s="12">
        <v>44193</v>
      </c>
      <c r="L84" t="s">
        <v>860</v>
      </c>
    </row>
    <row r="85" spans="1:12" x14ac:dyDescent="0.35">
      <c r="A85">
        <v>84</v>
      </c>
      <c r="B85" t="s">
        <v>861</v>
      </c>
      <c r="C85" t="s">
        <v>862</v>
      </c>
      <c r="D85" t="s">
        <v>863</v>
      </c>
      <c r="E85" t="s">
        <v>864</v>
      </c>
      <c r="F85" t="s">
        <v>865</v>
      </c>
      <c r="G85" t="s">
        <v>203</v>
      </c>
      <c r="H85" t="s">
        <v>866</v>
      </c>
      <c r="I85" t="s">
        <v>867</v>
      </c>
      <c r="J85" t="s">
        <v>868</v>
      </c>
      <c r="K85" s="12">
        <v>44515</v>
      </c>
      <c r="L85" t="s">
        <v>869</v>
      </c>
    </row>
    <row r="86" spans="1:12" x14ac:dyDescent="0.35">
      <c r="A86">
        <v>85</v>
      </c>
      <c r="B86" t="s">
        <v>870</v>
      </c>
      <c r="C86" t="s">
        <v>871</v>
      </c>
      <c r="D86" t="s">
        <v>872</v>
      </c>
      <c r="E86" t="s">
        <v>873</v>
      </c>
      <c r="F86" t="s">
        <v>874</v>
      </c>
      <c r="G86" t="s">
        <v>875</v>
      </c>
      <c r="H86" t="s">
        <v>876</v>
      </c>
      <c r="I86" t="s">
        <v>877</v>
      </c>
      <c r="J86" t="s">
        <v>878</v>
      </c>
      <c r="K86" s="12">
        <v>43879</v>
      </c>
      <c r="L86" t="s">
        <v>879</v>
      </c>
    </row>
    <row r="87" spans="1:12" x14ac:dyDescent="0.35">
      <c r="A87">
        <v>86</v>
      </c>
      <c r="B87" t="s">
        <v>880</v>
      </c>
      <c r="C87" t="s">
        <v>881</v>
      </c>
      <c r="D87" t="s">
        <v>882</v>
      </c>
      <c r="E87" t="s">
        <v>883</v>
      </c>
      <c r="F87" t="s">
        <v>884</v>
      </c>
      <c r="G87" t="s">
        <v>885</v>
      </c>
      <c r="H87" t="s">
        <v>886</v>
      </c>
      <c r="I87" t="s">
        <v>887</v>
      </c>
      <c r="J87" t="s">
        <v>888</v>
      </c>
      <c r="K87" s="12">
        <v>44694</v>
      </c>
      <c r="L87" t="s">
        <v>889</v>
      </c>
    </row>
    <row r="88" spans="1:12" x14ac:dyDescent="0.35">
      <c r="A88">
        <v>87</v>
      </c>
      <c r="B88" t="s">
        <v>890</v>
      </c>
      <c r="C88" t="s">
        <v>891</v>
      </c>
      <c r="D88" t="s">
        <v>892</v>
      </c>
      <c r="E88" t="s">
        <v>893</v>
      </c>
      <c r="F88" t="s">
        <v>894</v>
      </c>
      <c r="G88" t="s">
        <v>895</v>
      </c>
      <c r="H88" t="s">
        <v>896</v>
      </c>
      <c r="I88" t="s">
        <v>897</v>
      </c>
      <c r="J88" t="s">
        <v>898</v>
      </c>
      <c r="K88" s="12">
        <v>44033</v>
      </c>
      <c r="L88" t="s">
        <v>899</v>
      </c>
    </row>
    <row r="89" spans="1:12" x14ac:dyDescent="0.35">
      <c r="A89">
        <v>88</v>
      </c>
      <c r="B89" t="s">
        <v>900</v>
      </c>
      <c r="C89" t="s">
        <v>901</v>
      </c>
      <c r="D89" t="s">
        <v>902</v>
      </c>
      <c r="E89" t="s">
        <v>903</v>
      </c>
      <c r="F89" t="s">
        <v>904</v>
      </c>
      <c r="G89" t="s">
        <v>905</v>
      </c>
      <c r="H89" t="s">
        <v>906</v>
      </c>
      <c r="I89" t="s">
        <v>907</v>
      </c>
      <c r="J89" t="s">
        <v>908</v>
      </c>
      <c r="K89" s="12">
        <v>44145</v>
      </c>
      <c r="L89" t="s">
        <v>909</v>
      </c>
    </row>
    <row r="90" spans="1:12" x14ac:dyDescent="0.35">
      <c r="A90">
        <v>89</v>
      </c>
      <c r="B90" t="s">
        <v>910</v>
      </c>
      <c r="C90" t="s">
        <v>911</v>
      </c>
      <c r="D90" t="s">
        <v>912</v>
      </c>
      <c r="E90" t="s">
        <v>913</v>
      </c>
      <c r="F90" t="s">
        <v>914</v>
      </c>
      <c r="G90" t="s">
        <v>915</v>
      </c>
      <c r="H90" t="s">
        <v>916</v>
      </c>
      <c r="I90" t="s">
        <v>917</v>
      </c>
      <c r="J90" t="s">
        <v>918</v>
      </c>
      <c r="K90" s="12">
        <v>44301</v>
      </c>
      <c r="L90" t="s">
        <v>919</v>
      </c>
    </row>
    <row r="91" spans="1:12" x14ac:dyDescent="0.35">
      <c r="A91">
        <v>90</v>
      </c>
      <c r="B91" t="s">
        <v>920</v>
      </c>
      <c r="C91" t="s">
        <v>921</v>
      </c>
      <c r="D91" t="s">
        <v>922</v>
      </c>
      <c r="E91" t="s">
        <v>923</v>
      </c>
      <c r="F91" t="s">
        <v>924</v>
      </c>
      <c r="G91" t="s">
        <v>925</v>
      </c>
      <c r="H91" t="s">
        <v>926</v>
      </c>
      <c r="I91" t="s">
        <v>927</v>
      </c>
      <c r="J91" t="s">
        <v>928</v>
      </c>
      <c r="K91" s="12">
        <v>44205</v>
      </c>
      <c r="L91" t="s">
        <v>929</v>
      </c>
    </row>
    <row r="92" spans="1:12" x14ac:dyDescent="0.35">
      <c r="A92">
        <v>91</v>
      </c>
      <c r="B92" t="s">
        <v>930</v>
      </c>
      <c r="C92" t="s">
        <v>931</v>
      </c>
      <c r="D92" t="s">
        <v>932</v>
      </c>
      <c r="E92" t="s">
        <v>933</v>
      </c>
      <c r="F92" t="s">
        <v>934</v>
      </c>
      <c r="G92" t="s">
        <v>935</v>
      </c>
      <c r="H92" t="s">
        <v>936</v>
      </c>
      <c r="I92" t="s">
        <v>937</v>
      </c>
      <c r="J92" t="s">
        <v>938</v>
      </c>
      <c r="K92" s="12">
        <v>43916</v>
      </c>
      <c r="L92" t="s">
        <v>939</v>
      </c>
    </row>
    <row r="93" spans="1:12" x14ac:dyDescent="0.35">
      <c r="A93">
        <v>92</v>
      </c>
      <c r="B93" t="s">
        <v>940</v>
      </c>
      <c r="C93" t="s">
        <v>287</v>
      </c>
      <c r="D93" t="s">
        <v>210</v>
      </c>
      <c r="E93" t="s">
        <v>941</v>
      </c>
      <c r="F93" t="s">
        <v>942</v>
      </c>
      <c r="G93" t="s">
        <v>943</v>
      </c>
      <c r="H93" t="s">
        <v>944</v>
      </c>
      <c r="I93" t="s">
        <v>945</v>
      </c>
      <c r="J93" t="s">
        <v>946</v>
      </c>
      <c r="K93" s="12">
        <v>44383</v>
      </c>
      <c r="L93" t="s">
        <v>947</v>
      </c>
    </row>
    <row r="94" spans="1:12" x14ac:dyDescent="0.35">
      <c r="A94">
        <v>93</v>
      </c>
      <c r="B94" t="s">
        <v>948</v>
      </c>
      <c r="C94" t="s">
        <v>949</v>
      </c>
      <c r="D94" t="s">
        <v>950</v>
      </c>
      <c r="E94" t="s">
        <v>951</v>
      </c>
      <c r="F94" t="s">
        <v>952</v>
      </c>
      <c r="G94" t="s">
        <v>953</v>
      </c>
      <c r="H94" t="s">
        <v>954</v>
      </c>
      <c r="I94" t="s">
        <v>955</v>
      </c>
      <c r="J94" t="s">
        <v>956</v>
      </c>
      <c r="K94" s="12">
        <v>44376</v>
      </c>
      <c r="L94" t="s">
        <v>957</v>
      </c>
    </row>
    <row r="95" spans="1:12" x14ac:dyDescent="0.35">
      <c r="A95">
        <v>94</v>
      </c>
      <c r="B95" t="s">
        <v>958</v>
      </c>
      <c r="C95" t="s">
        <v>436</v>
      </c>
      <c r="D95" t="s">
        <v>959</v>
      </c>
      <c r="E95" t="s">
        <v>960</v>
      </c>
      <c r="F95" t="s">
        <v>961</v>
      </c>
      <c r="G95" t="s">
        <v>420</v>
      </c>
      <c r="H95" t="s">
        <v>962</v>
      </c>
      <c r="I95" t="s">
        <v>963</v>
      </c>
      <c r="J95" t="s">
        <v>964</v>
      </c>
      <c r="K95" s="12">
        <v>44290</v>
      </c>
      <c r="L95" t="s">
        <v>965</v>
      </c>
    </row>
    <row r="96" spans="1:12" x14ac:dyDescent="0.35">
      <c r="A96">
        <v>95</v>
      </c>
      <c r="B96" t="s">
        <v>966</v>
      </c>
      <c r="C96" t="s">
        <v>967</v>
      </c>
      <c r="D96" t="s">
        <v>968</v>
      </c>
      <c r="E96" t="s">
        <v>969</v>
      </c>
      <c r="F96" t="s">
        <v>970</v>
      </c>
      <c r="G96" t="s">
        <v>971</v>
      </c>
      <c r="H96" t="s">
        <v>972</v>
      </c>
      <c r="I96" t="s">
        <v>973</v>
      </c>
      <c r="J96" t="s">
        <v>974</v>
      </c>
      <c r="K96" s="12">
        <v>44609</v>
      </c>
      <c r="L96" t="s">
        <v>975</v>
      </c>
    </row>
    <row r="97" spans="1:12" x14ac:dyDescent="0.35">
      <c r="A97">
        <v>96</v>
      </c>
      <c r="B97" t="s">
        <v>976</v>
      </c>
      <c r="C97" t="s">
        <v>977</v>
      </c>
      <c r="D97" t="s">
        <v>476</v>
      </c>
      <c r="E97" t="s">
        <v>978</v>
      </c>
      <c r="F97" t="s">
        <v>979</v>
      </c>
      <c r="G97" t="s">
        <v>980</v>
      </c>
      <c r="H97" t="s">
        <v>981</v>
      </c>
      <c r="I97" t="s">
        <v>982</v>
      </c>
      <c r="J97" t="s">
        <v>983</v>
      </c>
      <c r="K97" s="12">
        <v>44591</v>
      </c>
      <c r="L97" t="s">
        <v>984</v>
      </c>
    </row>
    <row r="98" spans="1:12" x14ac:dyDescent="0.35">
      <c r="A98">
        <v>97</v>
      </c>
      <c r="B98" t="s">
        <v>985</v>
      </c>
      <c r="C98" t="s">
        <v>641</v>
      </c>
      <c r="D98" t="s">
        <v>986</v>
      </c>
      <c r="E98" t="s">
        <v>987</v>
      </c>
      <c r="F98" t="s">
        <v>988</v>
      </c>
      <c r="G98" t="s">
        <v>183</v>
      </c>
      <c r="H98" t="s">
        <v>989</v>
      </c>
      <c r="I98" t="s">
        <v>990</v>
      </c>
      <c r="J98" t="s">
        <v>991</v>
      </c>
      <c r="K98" s="12">
        <v>44387</v>
      </c>
      <c r="L98" t="s">
        <v>992</v>
      </c>
    </row>
    <row r="99" spans="1:12" x14ac:dyDescent="0.35">
      <c r="A99">
        <v>98</v>
      </c>
      <c r="B99" t="s">
        <v>993</v>
      </c>
      <c r="C99" t="s">
        <v>994</v>
      </c>
      <c r="D99" t="s">
        <v>995</v>
      </c>
      <c r="E99" t="s">
        <v>996</v>
      </c>
      <c r="F99" t="s">
        <v>997</v>
      </c>
      <c r="G99" t="s">
        <v>420</v>
      </c>
      <c r="H99" t="s">
        <v>998</v>
      </c>
      <c r="I99" t="s">
        <v>999</v>
      </c>
      <c r="J99" t="s">
        <v>1000</v>
      </c>
      <c r="K99" s="12">
        <v>44457</v>
      </c>
      <c r="L99" t="s">
        <v>1001</v>
      </c>
    </row>
    <row r="100" spans="1:12" x14ac:dyDescent="0.35">
      <c r="A100">
        <v>99</v>
      </c>
      <c r="B100" t="s">
        <v>1002</v>
      </c>
      <c r="C100" t="s">
        <v>1003</v>
      </c>
      <c r="D100" t="s">
        <v>1004</v>
      </c>
      <c r="E100" t="s">
        <v>1005</v>
      </c>
      <c r="F100" t="s">
        <v>1006</v>
      </c>
      <c r="G100" t="s">
        <v>1007</v>
      </c>
      <c r="H100" t="s">
        <v>1008</v>
      </c>
      <c r="I100" t="s">
        <v>1009</v>
      </c>
      <c r="J100" t="s">
        <v>1010</v>
      </c>
      <c r="K100" s="12">
        <v>44419</v>
      </c>
      <c r="L100" t="s">
        <v>1011</v>
      </c>
    </row>
    <row r="101" spans="1:12" x14ac:dyDescent="0.35">
      <c r="A101">
        <v>100</v>
      </c>
      <c r="B101" t="s">
        <v>1012</v>
      </c>
      <c r="C101" t="s">
        <v>1013</v>
      </c>
      <c r="D101" t="s">
        <v>1014</v>
      </c>
      <c r="E101" t="s">
        <v>1015</v>
      </c>
      <c r="F101" t="s">
        <v>1016</v>
      </c>
      <c r="G101" t="s">
        <v>1017</v>
      </c>
      <c r="H101" t="s">
        <v>1018</v>
      </c>
      <c r="I101" t="s">
        <v>1019</v>
      </c>
      <c r="J101" t="s">
        <v>1020</v>
      </c>
      <c r="K101" s="12">
        <v>43901</v>
      </c>
      <c r="L101" t="s">
        <v>1021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F74F1F-D95E-439D-A015-3D71511C4AE6}">
  <dimension ref="A1:D22"/>
  <sheetViews>
    <sheetView workbookViewId="0">
      <selection sqref="A1:D6"/>
    </sheetView>
  </sheetViews>
  <sheetFormatPr defaultRowHeight="14.5" x14ac:dyDescent="0.35"/>
  <cols>
    <col min="2" max="2" width="17.26953125" customWidth="1"/>
  </cols>
  <sheetData>
    <row r="1" spans="1:4" x14ac:dyDescent="0.35">
      <c r="A1" s="5" t="s">
        <v>22</v>
      </c>
      <c r="B1" s="5" t="s">
        <v>23</v>
      </c>
      <c r="C1" s="5" t="s">
        <v>24</v>
      </c>
      <c r="D1" s="5" t="s">
        <v>25</v>
      </c>
    </row>
    <row r="2" spans="1:4" x14ac:dyDescent="0.35">
      <c r="A2" s="9">
        <v>101</v>
      </c>
      <c r="B2" s="6" t="s">
        <v>33</v>
      </c>
      <c r="C2" s="6">
        <v>99</v>
      </c>
      <c r="D2" s="6">
        <v>95</v>
      </c>
    </row>
    <row r="3" spans="1:4" x14ac:dyDescent="0.35">
      <c r="A3" s="9">
        <v>102</v>
      </c>
      <c r="B3" s="6" t="s">
        <v>32</v>
      </c>
      <c r="C3" s="6">
        <v>86</v>
      </c>
      <c r="D3" s="6">
        <v>45</v>
      </c>
    </row>
    <row r="4" spans="1:4" x14ac:dyDescent="0.35">
      <c r="A4" s="9">
        <v>103</v>
      </c>
      <c r="B4" s="6" t="s">
        <v>34</v>
      </c>
      <c r="C4" s="6">
        <v>78</v>
      </c>
      <c r="D4" s="6">
        <v>89</v>
      </c>
    </row>
    <row r="5" spans="1:4" x14ac:dyDescent="0.35">
      <c r="A5" s="9">
        <v>104</v>
      </c>
      <c r="B5" s="6" t="s">
        <v>35</v>
      </c>
      <c r="C5" s="6">
        <v>55</v>
      </c>
      <c r="D5" s="6">
        <v>65</v>
      </c>
    </row>
    <row r="6" spans="1:4" x14ac:dyDescent="0.35">
      <c r="A6" s="9">
        <v>105</v>
      </c>
      <c r="B6" s="6" t="s">
        <v>36</v>
      </c>
      <c r="C6" s="6">
        <v>87</v>
      </c>
      <c r="D6" s="6">
        <v>97</v>
      </c>
    </row>
    <row r="8" spans="1:4" x14ac:dyDescent="0.35">
      <c r="B8" s="15" t="s">
        <v>1022</v>
      </c>
      <c r="C8" s="15"/>
    </row>
    <row r="9" spans="1:4" x14ac:dyDescent="0.35">
      <c r="B9" s="6"/>
      <c r="C9" s="6"/>
    </row>
    <row r="10" spans="1:4" x14ac:dyDescent="0.35">
      <c r="B10" s="6" t="s">
        <v>1023</v>
      </c>
      <c r="C10" s="6">
        <v>81</v>
      </c>
    </row>
    <row r="11" spans="1:4" x14ac:dyDescent="0.35">
      <c r="B11" s="6" t="s">
        <v>1024</v>
      </c>
      <c r="C11" s="6">
        <v>7.3143694191638957</v>
      </c>
    </row>
    <row r="12" spans="1:4" x14ac:dyDescent="0.35">
      <c r="B12" s="6" t="s">
        <v>1025</v>
      </c>
      <c r="C12" s="6">
        <v>86</v>
      </c>
    </row>
    <row r="13" spans="1:4" x14ac:dyDescent="0.35">
      <c r="B13" s="6" t="s">
        <v>1026</v>
      </c>
      <c r="C13" s="6" t="e">
        <v>#N/A</v>
      </c>
    </row>
    <row r="14" spans="1:4" x14ac:dyDescent="0.35">
      <c r="B14" s="6" t="s">
        <v>1027</v>
      </c>
      <c r="C14" s="6">
        <v>16.355427233796124</v>
      </c>
    </row>
    <row r="15" spans="1:4" x14ac:dyDescent="0.35">
      <c r="B15" s="6" t="s">
        <v>1028</v>
      </c>
      <c r="C15" s="6">
        <v>267.5</v>
      </c>
    </row>
    <row r="16" spans="1:4" x14ac:dyDescent="0.35">
      <c r="B16" s="6" t="s">
        <v>1029</v>
      </c>
      <c r="C16" s="6">
        <v>1.8515852912918209</v>
      </c>
    </row>
    <row r="17" spans="2:3" x14ac:dyDescent="0.35">
      <c r="B17" s="6" t="s">
        <v>1030</v>
      </c>
      <c r="C17" s="6">
        <v>-1.0885523235350381</v>
      </c>
    </row>
    <row r="18" spans="2:3" x14ac:dyDescent="0.35">
      <c r="B18" s="6" t="s">
        <v>1031</v>
      </c>
      <c r="C18" s="6">
        <v>44</v>
      </c>
    </row>
    <row r="19" spans="2:3" x14ac:dyDescent="0.35">
      <c r="B19" s="6" t="s">
        <v>1032</v>
      </c>
      <c r="C19" s="6">
        <v>55</v>
      </c>
    </row>
    <row r="20" spans="2:3" x14ac:dyDescent="0.35">
      <c r="B20" s="6" t="s">
        <v>1033</v>
      </c>
      <c r="C20" s="6">
        <v>99</v>
      </c>
    </row>
    <row r="21" spans="2:3" x14ac:dyDescent="0.35">
      <c r="B21" s="6" t="s">
        <v>1034</v>
      </c>
      <c r="C21" s="6">
        <v>405</v>
      </c>
    </row>
    <row r="22" spans="2:3" x14ac:dyDescent="0.35">
      <c r="B22" s="6" t="s">
        <v>1035</v>
      </c>
      <c r="C22" s="6">
        <v>5</v>
      </c>
    </row>
  </sheetData>
  <mergeCells count="1">
    <mergeCell ref="B8:C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E9BFF-EDA7-40E7-9CFA-69DC6638217F}">
  <dimension ref="A1:D19"/>
  <sheetViews>
    <sheetView workbookViewId="0">
      <selection sqref="A1:D6"/>
    </sheetView>
  </sheetViews>
  <sheetFormatPr defaultRowHeight="14.5" x14ac:dyDescent="0.35"/>
  <cols>
    <col min="2" max="2" width="28" customWidth="1"/>
    <col min="3" max="3" width="11.36328125" customWidth="1"/>
    <col min="4" max="4" width="10.81640625" customWidth="1"/>
  </cols>
  <sheetData>
    <row r="1" spans="1:4" x14ac:dyDescent="0.35">
      <c r="A1" s="5" t="s">
        <v>22</v>
      </c>
      <c r="B1" s="5" t="s">
        <v>23</v>
      </c>
      <c r="C1" s="5" t="s">
        <v>24</v>
      </c>
      <c r="D1" s="5" t="s">
        <v>25</v>
      </c>
    </row>
    <row r="2" spans="1:4" x14ac:dyDescent="0.35">
      <c r="A2" s="9">
        <v>101</v>
      </c>
      <c r="B2" s="6" t="s">
        <v>33</v>
      </c>
      <c r="C2" s="6">
        <v>99</v>
      </c>
      <c r="D2" s="6">
        <v>95</v>
      </c>
    </row>
    <row r="3" spans="1:4" x14ac:dyDescent="0.35">
      <c r="A3" s="9">
        <v>102</v>
      </c>
      <c r="B3" s="6" t="s">
        <v>32</v>
      </c>
      <c r="C3" s="6">
        <v>86</v>
      </c>
      <c r="D3" s="6">
        <v>45</v>
      </c>
    </row>
    <row r="4" spans="1:4" x14ac:dyDescent="0.35">
      <c r="A4" s="9">
        <v>103</v>
      </c>
      <c r="B4" s="6" t="s">
        <v>34</v>
      </c>
      <c r="C4" s="6">
        <v>78</v>
      </c>
      <c r="D4" s="6">
        <v>89</v>
      </c>
    </row>
    <row r="5" spans="1:4" x14ac:dyDescent="0.35">
      <c r="A5" s="9">
        <v>104</v>
      </c>
      <c r="B5" s="6" t="s">
        <v>35</v>
      </c>
      <c r="C5" s="6">
        <v>55</v>
      </c>
      <c r="D5" s="6">
        <v>65</v>
      </c>
    </row>
    <row r="6" spans="1:4" x14ac:dyDescent="0.35">
      <c r="A6" s="9">
        <v>105</v>
      </c>
      <c r="B6" s="6" t="s">
        <v>36</v>
      </c>
      <c r="C6" s="6">
        <v>87</v>
      </c>
      <c r="D6" s="6">
        <v>97</v>
      </c>
    </row>
    <row r="9" spans="1:4" x14ac:dyDescent="0.35">
      <c r="B9" s="4" t="s">
        <v>1046</v>
      </c>
    </row>
    <row r="10" spans="1:4" x14ac:dyDescent="0.35">
      <c r="B10" s="13"/>
      <c r="C10" s="13" t="s">
        <v>1036</v>
      </c>
      <c r="D10" s="13" t="s">
        <v>1037</v>
      </c>
    </row>
    <row r="11" spans="1:4" x14ac:dyDescent="0.35">
      <c r="B11" s="6" t="s">
        <v>1023</v>
      </c>
      <c r="C11" s="6">
        <v>81</v>
      </c>
      <c r="D11" s="6">
        <v>78.2</v>
      </c>
    </row>
    <row r="12" spans="1:4" x14ac:dyDescent="0.35">
      <c r="B12" s="6" t="s">
        <v>1038</v>
      </c>
      <c r="C12" s="6">
        <v>0.5</v>
      </c>
      <c r="D12" s="6">
        <v>0.5</v>
      </c>
    </row>
    <row r="13" spans="1:4" x14ac:dyDescent="0.35">
      <c r="B13" s="6" t="s">
        <v>1039</v>
      </c>
      <c r="C13" s="6">
        <v>5</v>
      </c>
      <c r="D13" s="6">
        <v>5</v>
      </c>
    </row>
    <row r="14" spans="1:4" x14ac:dyDescent="0.35">
      <c r="B14" s="6" t="s">
        <v>1040</v>
      </c>
      <c r="C14" s="6">
        <v>0</v>
      </c>
      <c r="D14" s="6"/>
    </row>
    <row r="15" spans="1:4" x14ac:dyDescent="0.35">
      <c r="B15" s="6" t="s">
        <v>1041</v>
      </c>
      <c r="C15" s="6">
        <v>6.2609903369994049</v>
      </c>
      <c r="D15" s="6"/>
    </row>
    <row r="16" spans="1:4" x14ac:dyDescent="0.35">
      <c r="B16" s="6" t="s">
        <v>1042</v>
      </c>
      <c r="C16" s="6">
        <v>1.9127011086084167E-10</v>
      </c>
      <c r="D16" s="6"/>
    </row>
    <row r="17" spans="2:4" x14ac:dyDescent="0.35">
      <c r="B17" s="6" t="s">
        <v>1043</v>
      </c>
      <c r="C17" s="6">
        <v>1.6448536269514715</v>
      </c>
      <c r="D17" s="6"/>
    </row>
    <row r="18" spans="2:4" x14ac:dyDescent="0.35">
      <c r="B18" s="6" t="s">
        <v>1044</v>
      </c>
      <c r="C18" s="6">
        <v>3.8254022172168334E-10</v>
      </c>
      <c r="D18" s="6"/>
    </row>
    <row r="19" spans="2:4" x14ac:dyDescent="0.35">
      <c r="B19" s="6" t="s">
        <v>1045</v>
      </c>
      <c r="C19" s="6">
        <v>1.9599639845400536</v>
      </c>
      <c r="D19" s="6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D932C3-FCE9-4076-8CF1-F43694EC03E5}">
  <dimension ref="A1:D21"/>
  <sheetViews>
    <sheetView workbookViewId="0">
      <selection sqref="A1:D6"/>
    </sheetView>
  </sheetViews>
  <sheetFormatPr defaultRowHeight="14.5" x14ac:dyDescent="0.35"/>
  <cols>
    <col min="2" max="2" width="27.36328125" customWidth="1"/>
    <col min="3" max="3" width="12.6328125" customWidth="1"/>
    <col min="4" max="4" width="12.36328125" customWidth="1"/>
  </cols>
  <sheetData>
    <row r="1" spans="1:4" x14ac:dyDescent="0.35">
      <c r="A1" s="5" t="s">
        <v>22</v>
      </c>
      <c r="B1" s="5" t="s">
        <v>23</v>
      </c>
      <c r="C1" s="5" t="s">
        <v>24</v>
      </c>
      <c r="D1" s="5" t="s">
        <v>25</v>
      </c>
    </row>
    <row r="2" spans="1:4" x14ac:dyDescent="0.35">
      <c r="A2" s="9">
        <v>101</v>
      </c>
      <c r="B2" s="6" t="s">
        <v>33</v>
      </c>
      <c r="C2" s="6">
        <v>99</v>
      </c>
      <c r="D2" s="6">
        <v>95</v>
      </c>
    </row>
    <row r="3" spans="1:4" x14ac:dyDescent="0.35">
      <c r="A3" s="9">
        <v>102</v>
      </c>
      <c r="B3" s="6" t="s">
        <v>32</v>
      </c>
      <c r="C3" s="6">
        <v>86</v>
      </c>
      <c r="D3" s="6">
        <v>45</v>
      </c>
    </row>
    <row r="4" spans="1:4" x14ac:dyDescent="0.35">
      <c r="A4" s="9">
        <v>103</v>
      </c>
      <c r="B4" s="6" t="s">
        <v>34</v>
      </c>
      <c r="C4" s="6">
        <v>78</v>
      </c>
      <c r="D4" s="6">
        <v>89</v>
      </c>
    </row>
    <row r="5" spans="1:4" x14ac:dyDescent="0.35">
      <c r="A5" s="9">
        <v>104</v>
      </c>
      <c r="B5" s="6" t="s">
        <v>35</v>
      </c>
      <c r="C5" s="6">
        <v>55</v>
      </c>
      <c r="D5" s="6">
        <v>65</v>
      </c>
    </row>
    <row r="6" spans="1:4" x14ac:dyDescent="0.35">
      <c r="A6" s="9">
        <v>105</v>
      </c>
      <c r="B6" s="6" t="s">
        <v>36</v>
      </c>
      <c r="C6" s="6">
        <v>87</v>
      </c>
      <c r="D6" s="6">
        <v>97</v>
      </c>
    </row>
    <row r="9" spans="1:4" x14ac:dyDescent="0.35">
      <c r="B9" s="4" t="s">
        <v>1047</v>
      </c>
    </row>
    <row r="10" spans="1:4" x14ac:dyDescent="0.35">
      <c r="B10" s="13"/>
      <c r="C10" s="13" t="s">
        <v>1036</v>
      </c>
      <c r="D10" s="13" t="s">
        <v>1037</v>
      </c>
    </row>
    <row r="11" spans="1:4" x14ac:dyDescent="0.35">
      <c r="B11" s="6" t="s">
        <v>1023</v>
      </c>
      <c r="C11" s="6">
        <v>81</v>
      </c>
      <c r="D11" s="6">
        <v>78.2</v>
      </c>
    </row>
    <row r="12" spans="1:4" x14ac:dyDescent="0.35">
      <c r="B12" s="6" t="s">
        <v>1048</v>
      </c>
      <c r="C12" s="6">
        <v>267.5</v>
      </c>
      <c r="D12" s="6">
        <v>507.19999999999982</v>
      </c>
    </row>
    <row r="13" spans="1:4" x14ac:dyDescent="0.35">
      <c r="B13" s="6" t="s">
        <v>1039</v>
      </c>
      <c r="C13" s="6">
        <v>5</v>
      </c>
      <c r="D13" s="6">
        <v>5</v>
      </c>
    </row>
    <row r="14" spans="1:4" x14ac:dyDescent="0.35">
      <c r="B14" s="6" t="s">
        <v>1049</v>
      </c>
      <c r="C14" s="6">
        <v>0.38008131507270371</v>
      </c>
      <c r="D14" s="6"/>
    </row>
    <row r="15" spans="1:4" x14ac:dyDescent="0.35">
      <c r="B15" s="6" t="s">
        <v>1040</v>
      </c>
      <c r="C15" s="6">
        <v>0</v>
      </c>
      <c r="D15" s="6"/>
    </row>
    <row r="16" spans="1:4" x14ac:dyDescent="0.35">
      <c r="B16" s="6" t="s">
        <v>1050</v>
      </c>
      <c r="C16" s="6">
        <v>4</v>
      </c>
      <c r="D16" s="6"/>
    </row>
    <row r="17" spans="2:4" x14ac:dyDescent="0.35">
      <c r="B17" s="6" t="s">
        <v>1051</v>
      </c>
      <c r="C17" s="6">
        <v>0.28149590298979565</v>
      </c>
      <c r="D17" s="6"/>
    </row>
    <row r="18" spans="2:4" x14ac:dyDescent="0.35">
      <c r="B18" s="6" t="s">
        <v>1052</v>
      </c>
      <c r="C18" s="6">
        <v>0.39614617646171546</v>
      </c>
      <c r="D18" s="6"/>
    </row>
    <row r="19" spans="2:4" x14ac:dyDescent="0.35">
      <c r="B19" s="6" t="s">
        <v>1053</v>
      </c>
      <c r="C19" s="6">
        <v>2.1318467863266499</v>
      </c>
      <c r="D19" s="6"/>
    </row>
    <row r="20" spans="2:4" x14ac:dyDescent="0.35">
      <c r="B20" s="6" t="s">
        <v>1054</v>
      </c>
      <c r="C20" s="6">
        <v>0.79229235292343092</v>
      </c>
      <c r="D20" s="6"/>
    </row>
    <row r="21" spans="2:4" x14ac:dyDescent="0.35">
      <c r="B21" s="6" t="s">
        <v>1055</v>
      </c>
      <c r="C21" s="6">
        <v>2.7764451051977934</v>
      </c>
      <c r="D21" s="6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675B00-9F40-42AC-B204-7F1C66E1371A}">
  <dimension ref="A1:G21"/>
  <sheetViews>
    <sheetView workbookViewId="0">
      <selection sqref="A1:D6"/>
    </sheetView>
  </sheetViews>
  <sheetFormatPr defaultRowHeight="14.5" x14ac:dyDescent="0.35"/>
  <cols>
    <col min="1" max="1" width="21.453125" customWidth="1"/>
    <col min="2" max="2" width="9.7265625" customWidth="1"/>
  </cols>
  <sheetData>
    <row r="1" spans="1:5" x14ac:dyDescent="0.35">
      <c r="A1" s="5" t="s">
        <v>22</v>
      </c>
      <c r="B1" s="5" t="s">
        <v>23</v>
      </c>
      <c r="C1" s="5" t="s">
        <v>24</v>
      </c>
      <c r="D1" s="5" t="s">
        <v>25</v>
      </c>
    </row>
    <row r="2" spans="1:5" x14ac:dyDescent="0.35">
      <c r="A2" s="9">
        <v>101</v>
      </c>
      <c r="B2" s="6" t="s">
        <v>33</v>
      </c>
      <c r="C2" s="6">
        <v>99</v>
      </c>
      <c r="D2" s="6">
        <v>95</v>
      </c>
    </row>
    <row r="3" spans="1:5" x14ac:dyDescent="0.35">
      <c r="A3" s="9">
        <v>102</v>
      </c>
      <c r="B3" s="6" t="s">
        <v>32</v>
      </c>
      <c r="C3" s="6">
        <v>86</v>
      </c>
      <c r="D3" s="6">
        <v>45</v>
      </c>
    </row>
    <row r="4" spans="1:5" x14ac:dyDescent="0.35">
      <c r="A4" s="9">
        <v>103</v>
      </c>
      <c r="B4" s="6" t="s">
        <v>34</v>
      </c>
      <c r="C4" s="6">
        <v>78</v>
      </c>
      <c r="D4" s="6">
        <v>89</v>
      </c>
    </row>
    <row r="5" spans="1:5" x14ac:dyDescent="0.35">
      <c r="A5" s="9">
        <v>104</v>
      </c>
      <c r="B5" s="6" t="s">
        <v>35</v>
      </c>
      <c r="C5" s="6">
        <v>55</v>
      </c>
      <c r="D5" s="6">
        <v>65</v>
      </c>
    </row>
    <row r="6" spans="1:5" x14ac:dyDescent="0.35">
      <c r="A6" s="9">
        <v>105</v>
      </c>
      <c r="B6" s="6" t="s">
        <v>36</v>
      </c>
      <c r="C6" s="6">
        <v>87</v>
      </c>
      <c r="D6" s="6">
        <v>97</v>
      </c>
    </row>
    <row r="8" spans="1:5" x14ac:dyDescent="0.35">
      <c r="A8" s="4" t="s">
        <v>1056</v>
      </c>
      <c r="B8" s="4"/>
    </row>
    <row r="10" spans="1:5" x14ac:dyDescent="0.35">
      <c r="A10" s="4" t="s">
        <v>1057</v>
      </c>
    </row>
    <row r="11" spans="1:5" x14ac:dyDescent="0.35">
      <c r="A11" s="13" t="s">
        <v>1058</v>
      </c>
      <c r="B11" s="13" t="s">
        <v>1035</v>
      </c>
      <c r="C11" s="13" t="s">
        <v>1034</v>
      </c>
      <c r="D11" s="13" t="s">
        <v>1059</v>
      </c>
      <c r="E11" s="13" t="s">
        <v>1048</v>
      </c>
    </row>
    <row r="12" spans="1:5" x14ac:dyDescent="0.35">
      <c r="A12" s="6" t="s">
        <v>1060</v>
      </c>
      <c r="B12" s="6">
        <v>5</v>
      </c>
      <c r="C12" s="6">
        <v>405</v>
      </c>
      <c r="D12" s="6">
        <v>81</v>
      </c>
      <c r="E12" s="6">
        <v>267.5</v>
      </c>
    </row>
    <row r="13" spans="1:5" x14ac:dyDescent="0.35">
      <c r="A13" s="6" t="s">
        <v>1061</v>
      </c>
      <c r="B13" s="6">
        <v>5</v>
      </c>
      <c r="C13" s="6">
        <v>391</v>
      </c>
      <c r="D13" s="6">
        <v>78.2</v>
      </c>
      <c r="E13" s="6">
        <v>507.19999999999982</v>
      </c>
    </row>
    <row r="16" spans="1:5" x14ac:dyDescent="0.35">
      <c r="A16" s="4" t="s">
        <v>1062</v>
      </c>
    </row>
    <row r="17" spans="1:7" x14ac:dyDescent="0.35">
      <c r="A17" s="13" t="s">
        <v>1063</v>
      </c>
      <c r="B17" s="13" t="s">
        <v>1064</v>
      </c>
      <c r="C17" s="13" t="s">
        <v>1050</v>
      </c>
      <c r="D17" s="13" t="s">
        <v>1065</v>
      </c>
      <c r="E17" s="13" t="s">
        <v>1066</v>
      </c>
      <c r="F17" s="13" t="s">
        <v>1067</v>
      </c>
      <c r="G17" s="13" t="s">
        <v>1068</v>
      </c>
    </row>
    <row r="18" spans="1:7" x14ac:dyDescent="0.35">
      <c r="A18" s="6" t="s">
        <v>1069</v>
      </c>
      <c r="B18" s="6">
        <v>19.600000000000364</v>
      </c>
      <c r="C18" s="6">
        <v>1</v>
      </c>
      <c r="D18" s="6">
        <v>19.600000000000364</v>
      </c>
      <c r="E18" s="6">
        <v>5.0600232348006625E-2</v>
      </c>
      <c r="F18" s="6">
        <v>0.82766152108105717</v>
      </c>
      <c r="G18" s="6">
        <v>5.3176550715787174</v>
      </c>
    </row>
    <row r="19" spans="1:7" x14ac:dyDescent="0.35">
      <c r="A19" s="6" t="s">
        <v>1070</v>
      </c>
      <c r="B19" s="6">
        <v>3098.7999999999997</v>
      </c>
      <c r="C19" s="6">
        <v>8</v>
      </c>
      <c r="D19" s="6">
        <v>387.34999999999997</v>
      </c>
      <c r="E19" s="6"/>
      <c r="F19" s="6"/>
      <c r="G19" s="6"/>
    </row>
    <row r="20" spans="1:7" x14ac:dyDescent="0.35">
      <c r="A20" s="6"/>
      <c r="B20" s="6"/>
      <c r="C20" s="6"/>
      <c r="D20" s="6"/>
      <c r="E20" s="6"/>
      <c r="F20" s="6"/>
      <c r="G20" s="6"/>
    </row>
    <row r="21" spans="1:7" x14ac:dyDescent="0.35">
      <c r="A21" s="6" t="s">
        <v>1071</v>
      </c>
      <c r="B21" s="6">
        <v>3118.4</v>
      </c>
      <c r="C21" s="6">
        <v>9</v>
      </c>
      <c r="D21" s="6"/>
      <c r="E21" s="6"/>
      <c r="F21" s="6"/>
      <c r="G21" s="6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11F425-7BAD-4DE3-ACF2-6AA1EF43DD0A}">
  <dimension ref="A1:D6"/>
  <sheetViews>
    <sheetView workbookViewId="0">
      <selection activeCell="B8" sqref="B8"/>
    </sheetView>
  </sheetViews>
  <sheetFormatPr defaultRowHeight="14.5" x14ac:dyDescent="0.35"/>
  <sheetData>
    <row r="1" spans="1:4" x14ac:dyDescent="0.35">
      <c r="A1" s="5" t="s">
        <v>22</v>
      </c>
      <c r="B1" s="5" t="s">
        <v>23</v>
      </c>
      <c r="C1" s="5" t="s">
        <v>24</v>
      </c>
      <c r="D1" s="5" t="s">
        <v>25</v>
      </c>
    </row>
    <row r="2" spans="1:4" x14ac:dyDescent="0.35">
      <c r="A2" s="9">
        <v>101</v>
      </c>
      <c r="B2" s="6" t="s">
        <v>33</v>
      </c>
      <c r="C2" s="6">
        <v>99</v>
      </c>
      <c r="D2" s="6">
        <v>95</v>
      </c>
    </row>
    <row r="3" spans="1:4" x14ac:dyDescent="0.35">
      <c r="A3" s="9">
        <v>102</v>
      </c>
      <c r="B3" s="6" t="s">
        <v>32</v>
      </c>
      <c r="C3" s="6">
        <v>86</v>
      </c>
      <c r="D3" s="6">
        <v>45</v>
      </c>
    </row>
    <row r="4" spans="1:4" x14ac:dyDescent="0.35">
      <c r="A4" s="9">
        <v>103</v>
      </c>
      <c r="B4" s="6" t="s">
        <v>34</v>
      </c>
      <c r="C4" s="6"/>
      <c r="D4" s="6">
        <v>89</v>
      </c>
    </row>
    <row r="5" spans="1:4" x14ac:dyDescent="0.35">
      <c r="A5" s="9">
        <v>104</v>
      </c>
      <c r="B5" s="6" t="s">
        <v>35</v>
      </c>
      <c r="C5" s="6">
        <v>55</v>
      </c>
      <c r="D5" s="6">
        <v>65</v>
      </c>
    </row>
    <row r="6" spans="1:4" x14ac:dyDescent="0.35">
      <c r="A6" s="9">
        <v>105</v>
      </c>
      <c r="B6" s="6" t="s">
        <v>36</v>
      </c>
      <c r="C6" s="6">
        <v>87</v>
      </c>
      <c r="D6" s="6">
        <v>97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D1F3AA-B5A5-493D-9289-258E322BAB25}">
  <dimension ref="A1:C5"/>
  <sheetViews>
    <sheetView workbookViewId="0">
      <selection activeCell="C3" sqref="C3"/>
    </sheetView>
  </sheetViews>
  <sheetFormatPr defaultRowHeight="14.5" x14ac:dyDescent="0.35"/>
  <sheetData>
    <row r="1" spans="1:3" x14ac:dyDescent="0.35">
      <c r="A1" s="8" t="s">
        <v>23</v>
      </c>
      <c r="B1" s="8" t="s">
        <v>1072</v>
      </c>
      <c r="C1" s="8" t="s">
        <v>1073</v>
      </c>
    </row>
    <row r="2" spans="1:3" x14ac:dyDescent="0.35">
      <c r="A2" s="6" t="s">
        <v>1074</v>
      </c>
      <c r="B2" s="6">
        <v>89</v>
      </c>
      <c r="C2" s="6">
        <v>60</v>
      </c>
    </row>
    <row r="3" spans="1:3" x14ac:dyDescent="0.35">
      <c r="A3" s="6" t="s">
        <v>1075</v>
      </c>
      <c r="B3" s="6">
        <v>42</v>
      </c>
      <c r="C3" s="6">
        <v>34</v>
      </c>
    </row>
    <row r="4" spans="1:3" x14ac:dyDescent="0.35">
      <c r="A4" s="6" t="s">
        <v>33</v>
      </c>
      <c r="B4" s="6">
        <v>99</v>
      </c>
      <c r="C4" s="6">
        <v>89</v>
      </c>
    </row>
    <row r="5" spans="1:3" x14ac:dyDescent="0.35">
      <c r="A5" s="6" t="s">
        <v>36</v>
      </c>
      <c r="B5" s="6">
        <v>87</v>
      </c>
      <c r="C5" s="6">
        <v>90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7A826A-2EAD-4609-8E68-25A9F115B5DA}">
  <dimension ref="A1:N23"/>
  <sheetViews>
    <sheetView workbookViewId="0">
      <selection sqref="A1:XFD1"/>
    </sheetView>
  </sheetViews>
  <sheetFormatPr defaultRowHeight="14.5" x14ac:dyDescent="0.35"/>
  <cols>
    <col min="1" max="1" width="16.7265625" style="18" customWidth="1"/>
    <col min="2" max="2" width="10.7265625" style="18" customWidth="1"/>
    <col min="3" max="5" width="8.7265625" style="18"/>
    <col min="6" max="6" width="16.36328125" style="18" customWidth="1"/>
    <col min="7" max="7" width="13" style="18" customWidth="1"/>
    <col min="8" max="8" width="12.7265625" style="18" customWidth="1"/>
    <col min="9" max="9" width="8.7265625" style="18"/>
    <col min="10" max="10" width="11.1796875" style="18" customWidth="1"/>
    <col min="11" max="11" width="11.6328125" style="18" customWidth="1"/>
    <col min="12" max="12" width="10.36328125" style="18" customWidth="1"/>
    <col min="13" max="13" width="11.1796875" style="18" customWidth="1"/>
    <col min="14" max="14" width="12.6328125" style="18" customWidth="1"/>
    <col min="15" max="16384" width="8.7265625" style="18"/>
  </cols>
  <sheetData>
    <row r="1" spans="1:14" ht="29" x14ac:dyDescent="0.35">
      <c r="A1" s="16" t="s">
        <v>1076</v>
      </c>
      <c r="B1" s="16" t="s">
        <v>1077</v>
      </c>
      <c r="C1" s="17" t="s">
        <v>1078</v>
      </c>
      <c r="D1" s="17" t="s">
        <v>1079</v>
      </c>
    </row>
    <row r="2" spans="1:14" x14ac:dyDescent="0.35">
      <c r="A2" s="19" t="s">
        <v>1080</v>
      </c>
      <c r="B2" s="19" t="s">
        <v>1081</v>
      </c>
      <c r="C2" s="20">
        <v>2</v>
      </c>
      <c r="D2" s="20">
        <v>1</v>
      </c>
    </row>
    <row r="3" spans="1:14" x14ac:dyDescent="0.35">
      <c r="A3" s="19" t="s">
        <v>1080</v>
      </c>
      <c r="B3" s="19" t="s">
        <v>1081</v>
      </c>
      <c r="C3" s="20">
        <v>3</v>
      </c>
      <c r="D3" s="20">
        <v>2</v>
      </c>
      <c r="F3" t="s">
        <v>1085</v>
      </c>
      <c r="G3"/>
      <c r="H3"/>
      <c r="I3"/>
      <c r="J3"/>
      <c r="K3"/>
      <c r="L3"/>
      <c r="M3"/>
      <c r="N3"/>
    </row>
    <row r="4" spans="1:14" ht="15" thickBot="1" x14ac:dyDescent="0.4">
      <c r="A4" s="19" t="s">
        <v>1082</v>
      </c>
      <c r="B4" s="19" t="s">
        <v>584</v>
      </c>
      <c r="C4" s="20">
        <v>2</v>
      </c>
      <c r="D4" s="20">
        <v>0.3</v>
      </c>
      <c r="F4"/>
      <c r="G4"/>
      <c r="H4"/>
      <c r="I4"/>
      <c r="J4"/>
      <c r="K4"/>
      <c r="L4"/>
      <c r="M4"/>
      <c r="N4"/>
    </row>
    <row r="5" spans="1:14" x14ac:dyDescent="0.35">
      <c r="A5" s="19" t="s">
        <v>1080</v>
      </c>
      <c r="B5" s="19" t="s">
        <v>1081</v>
      </c>
      <c r="C5" s="20">
        <v>5</v>
      </c>
      <c r="D5" s="20">
        <v>0.45</v>
      </c>
      <c r="F5" s="24" t="s">
        <v>1086</v>
      </c>
      <c r="G5" s="24"/>
      <c r="H5"/>
      <c r="I5"/>
      <c r="J5"/>
      <c r="K5"/>
      <c r="L5"/>
      <c r="M5"/>
      <c r="N5"/>
    </row>
    <row r="6" spans="1:14" x14ac:dyDescent="0.35">
      <c r="A6" s="19" t="s">
        <v>1082</v>
      </c>
      <c r="B6" s="19" t="s">
        <v>1081</v>
      </c>
      <c r="C6" s="20">
        <v>2</v>
      </c>
      <c r="D6" s="20">
        <v>0.2</v>
      </c>
      <c r="F6" s="21" t="s">
        <v>1087</v>
      </c>
      <c r="G6" s="21">
        <v>0.15864455651225881</v>
      </c>
      <c r="H6"/>
      <c r="I6"/>
      <c r="J6"/>
      <c r="K6"/>
      <c r="L6"/>
      <c r="M6"/>
      <c r="N6"/>
    </row>
    <row r="7" spans="1:14" x14ac:dyDescent="0.35">
      <c r="A7" s="19" t="s">
        <v>1080</v>
      </c>
      <c r="B7" s="19" t="s">
        <v>584</v>
      </c>
      <c r="C7" s="20">
        <v>7</v>
      </c>
      <c r="D7" s="20">
        <v>0.6</v>
      </c>
      <c r="F7" s="21" t="s">
        <v>1088</v>
      </c>
      <c r="G7" s="21">
        <v>2.5168095310971281E-2</v>
      </c>
      <c r="H7"/>
      <c r="I7"/>
      <c r="J7"/>
      <c r="K7"/>
      <c r="L7"/>
      <c r="M7"/>
      <c r="N7"/>
    </row>
    <row r="8" spans="1:14" x14ac:dyDescent="0.35">
      <c r="A8" s="19" t="s">
        <v>1082</v>
      </c>
      <c r="B8" s="19" t="s">
        <v>584</v>
      </c>
      <c r="C8" s="20">
        <v>4</v>
      </c>
      <c r="D8" s="20">
        <v>1</v>
      </c>
      <c r="F8" s="21" t="s">
        <v>1089</v>
      </c>
      <c r="G8" s="21">
        <v>-4.4462755023959341E-2</v>
      </c>
      <c r="H8"/>
      <c r="I8"/>
      <c r="J8"/>
      <c r="K8"/>
      <c r="L8"/>
      <c r="M8"/>
      <c r="N8"/>
    </row>
    <row r="9" spans="1:14" x14ac:dyDescent="0.35">
      <c r="A9" s="19" t="s">
        <v>1083</v>
      </c>
      <c r="B9" s="19" t="s">
        <v>584</v>
      </c>
      <c r="C9" s="20">
        <v>6</v>
      </c>
      <c r="D9" s="20">
        <v>0.2</v>
      </c>
      <c r="F9" s="21" t="s">
        <v>1024</v>
      </c>
      <c r="G9" s="21">
        <v>0.50204860162347231</v>
      </c>
      <c r="H9"/>
      <c r="I9"/>
      <c r="J9"/>
      <c r="K9"/>
      <c r="L9"/>
      <c r="M9"/>
      <c r="N9"/>
    </row>
    <row r="10" spans="1:14" ht="15" thickBot="1" x14ac:dyDescent="0.4">
      <c r="A10" s="19" t="s">
        <v>1082</v>
      </c>
      <c r="B10" s="19" t="s">
        <v>584</v>
      </c>
      <c r="C10" s="20">
        <v>3</v>
      </c>
      <c r="D10" s="20">
        <v>0.2</v>
      </c>
      <c r="F10" s="22" t="s">
        <v>1039</v>
      </c>
      <c r="G10" s="22">
        <v>16</v>
      </c>
      <c r="H10"/>
      <c r="I10"/>
      <c r="J10"/>
      <c r="K10"/>
      <c r="L10"/>
      <c r="M10"/>
      <c r="N10"/>
    </row>
    <row r="11" spans="1:14" x14ac:dyDescent="0.35">
      <c r="A11" s="19" t="s">
        <v>1082</v>
      </c>
      <c r="B11" s="19" t="s">
        <v>584</v>
      </c>
      <c r="C11" s="20">
        <v>5</v>
      </c>
      <c r="D11" s="20">
        <v>0.8</v>
      </c>
      <c r="F11"/>
      <c r="G11"/>
      <c r="H11"/>
      <c r="I11"/>
      <c r="J11"/>
      <c r="K11"/>
      <c r="L11"/>
      <c r="M11"/>
      <c r="N11"/>
    </row>
    <row r="12" spans="1:14" ht="15" thickBot="1" x14ac:dyDescent="0.4">
      <c r="A12" s="19" t="s">
        <v>1080</v>
      </c>
      <c r="B12" s="19" t="s">
        <v>584</v>
      </c>
      <c r="C12" s="20">
        <v>9</v>
      </c>
      <c r="D12" s="20">
        <v>0.2</v>
      </c>
      <c r="F12" t="s">
        <v>1062</v>
      </c>
      <c r="G12"/>
      <c r="H12"/>
      <c r="I12"/>
      <c r="J12"/>
      <c r="K12"/>
      <c r="L12"/>
      <c r="M12"/>
      <c r="N12"/>
    </row>
    <row r="13" spans="1:14" x14ac:dyDescent="0.35">
      <c r="A13" s="19" t="s">
        <v>1083</v>
      </c>
      <c r="B13" s="19" t="s">
        <v>584</v>
      </c>
      <c r="C13" s="20">
        <v>4</v>
      </c>
      <c r="D13" s="20">
        <v>0.2</v>
      </c>
      <c r="F13" s="23"/>
      <c r="G13" s="23" t="s">
        <v>1050</v>
      </c>
      <c r="H13" s="23" t="s">
        <v>1064</v>
      </c>
      <c r="I13" s="23" t="s">
        <v>1065</v>
      </c>
      <c r="J13" s="23" t="s">
        <v>1066</v>
      </c>
      <c r="K13" s="23" t="s">
        <v>1093</v>
      </c>
      <c r="L13"/>
      <c r="M13"/>
      <c r="N13"/>
    </row>
    <row r="14" spans="1:14" x14ac:dyDescent="0.35">
      <c r="A14" s="19" t="s">
        <v>1082</v>
      </c>
      <c r="B14" s="19" t="s">
        <v>1081</v>
      </c>
      <c r="C14" s="20">
        <v>3</v>
      </c>
      <c r="D14" s="20">
        <v>0.2</v>
      </c>
      <c r="F14" s="21" t="s">
        <v>1090</v>
      </c>
      <c r="G14" s="21">
        <v>1</v>
      </c>
      <c r="H14" s="21">
        <v>9.1104572510823711E-2</v>
      </c>
      <c r="I14" s="21">
        <v>9.1104572510823711E-2</v>
      </c>
      <c r="J14" s="21">
        <v>0.36145035124388819</v>
      </c>
      <c r="K14" s="21">
        <v>0.55731162586537575</v>
      </c>
      <c r="L14"/>
      <c r="M14"/>
      <c r="N14"/>
    </row>
    <row r="15" spans="1:14" x14ac:dyDescent="0.35">
      <c r="A15" s="19" t="s">
        <v>1082</v>
      </c>
      <c r="B15" s="19" t="s">
        <v>584</v>
      </c>
      <c r="C15" s="20">
        <v>3</v>
      </c>
      <c r="D15" s="20">
        <v>0.2</v>
      </c>
      <c r="F15" s="21" t="s">
        <v>1091</v>
      </c>
      <c r="G15" s="21">
        <v>14</v>
      </c>
      <c r="H15" s="21">
        <v>3.528739177489177</v>
      </c>
      <c r="I15" s="21">
        <v>0.25205279839208405</v>
      </c>
      <c r="J15" s="21"/>
      <c r="K15" s="21"/>
      <c r="L15"/>
      <c r="M15"/>
      <c r="N15"/>
    </row>
    <row r="16" spans="1:14" ht="15" thickBot="1" x14ac:dyDescent="0.4">
      <c r="A16" s="19" t="s">
        <v>1082</v>
      </c>
      <c r="B16" s="19" t="s">
        <v>1084</v>
      </c>
      <c r="C16" s="20">
        <v>5</v>
      </c>
      <c r="D16" s="20">
        <v>0.8</v>
      </c>
      <c r="F16" s="22" t="s">
        <v>1071</v>
      </c>
      <c r="G16" s="22">
        <v>15</v>
      </c>
      <c r="H16" s="22">
        <v>3.6198437500000007</v>
      </c>
      <c r="I16" s="22"/>
      <c r="J16" s="22"/>
      <c r="K16" s="22"/>
      <c r="L16"/>
      <c r="M16"/>
      <c r="N16"/>
    </row>
    <row r="17" spans="1:14" ht="15" thickBot="1" x14ac:dyDescent="0.4">
      <c r="A17" s="19" t="s">
        <v>1082</v>
      </c>
      <c r="B17" s="19" t="s">
        <v>1084</v>
      </c>
      <c r="C17" s="20">
        <v>3</v>
      </c>
      <c r="D17" s="20">
        <v>0.8</v>
      </c>
      <c r="F17"/>
      <c r="G17"/>
      <c r="H17"/>
      <c r="I17"/>
      <c r="J17"/>
      <c r="K17"/>
      <c r="L17"/>
      <c r="M17"/>
      <c r="N17"/>
    </row>
    <row r="18" spans="1:14" x14ac:dyDescent="0.35">
      <c r="F18" s="23"/>
      <c r="G18" s="23" t="s">
        <v>1094</v>
      </c>
      <c r="H18" s="23" t="s">
        <v>1024</v>
      </c>
      <c r="I18" s="23" t="s">
        <v>1051</v>
      </c>
      <c r="J18" s="23" t="s">
        <v>1067</v>
      </c>
      <c r="K18" s="23" t="s">
        <v>1095</v>
      </c>
      <c r="L18" s="23" t="s">
        <v>1096</v>
      </c>
      <c r="M18" s="23" t="s">
        <v>1097</v>
      </c>
      <c r="N18" s="23" t="s">
        <v>1098</v>
      </c>
    </row>
    <row r="19" spans="1:14" x14ac:dyDescent="0.35">
      <c r="F19" s="21" t="s">
        <v>1092</v>
      </c>
      <c r="G19" s="21">
        <v>0.73571428571428588</v>
      </c>
      <c r="H19" s="21">
        <v>0.30003142596834992</v>
      </c>
      <c r="I19" s="21">
        <v>2.4521240844680579</v>
      </c>
      <c r="J19" s="21">
        <v>2.7929450079556883E-2</v>
      </c>
      <c r="K19" s="21">
        <v>9.2210877340372699E-2</v>
      </c>
      <c r="L19" s="21">
        <v>1.3792176940881991</v>
      </c>
      <c r="M19" s="21">
        <v>9.2210877340372699E-2</v>
      </c>
      <c r="N19" s="21">
        <v>1.3792176940881991</v>
      </c>
    </row>
    <row r="20" spans="1:14" ht="15" thickBot="1" x14ac:dyDescent="0.4">
      <c r="F20" s="22" t="s">
        <v>1099</v>
      </c>
      <c r="G20" s="22">
        <v>-3.9718614718614716E-2</v>
      </c>
      <c r="H20" s="22">
        <v>6.6064745678069095E-2</v>
      </c>
      <c r="I20" s="22">
        <v>-0.60120741116846133</v>
      </c>
      <c r="J20" s="22">
        <v>0.5573116258653783</v>
      </c>
      <c r="K20" s="22">
        <v>-0.1814134017896126</v>
      </c>
      <c r="L20" s="22">
        <v>0.10197617235238318</v>
      </c>
      <c r="M20" s="22">
        <v>-0.1814134017896126</v>
      </c>
      <c r="N20" s="22">
        <v>0.10197617235238318</v>
      </c>
    </row>
    <row r="21" spans="1:14" x14ac:dyDescent="0.35">
      <c r="F21"/>
      <c r="G21"/>
      <c r="H21"/>
      <c r="I21"/>
      <c r="J21"/>
      <c r="K21"/>
      <c r="L21"/>
      <c r="M21"/>
      <c r="N21"/>
    </row>
    <row r="22" spans="1:14" x14ac:dyDescent="0.35">
      <c r="F22"/>
      <c r="G22"/>
      <c r="H22"/>
      <c r="I22"/>
      <c r="J22"/>
      <c r="K22"/>
      <c r="L22"/>
      <c r="M22"/>
      <c r="N22"/>
    </row>
    <row r="23" spans="1:14" x14ac:dyDescent="0.35">
      <c r="F23"/>
      <c r="G23"/>
      <c r="H23"/>
      <c r="I23"/>
      <c r="J23"/>
      <c r="K23"/>
      <c r="L23"/>
      <c r="M23"/>
      <c r="N23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0E832E-7A5F-46A7-A3B9-2EE9E93AF6A6}">
  <dimension ref="A1:O20"/>
  <sheetViews>
    <sheetView tabSelected="1" workbookViewId="0">
      <selection activeCell="L2" sqref="L2"/>
    </sheetView>
  </sheetViews>
  <sheetFormatPr defaultRowHeight="14.5" x14ac:dyDescent="0.35"/>
  <cols>
    <col min="1" max="1" width="13.1796875" bestFit="1" customWidth="1"/>
    <col min="2" max="2" width="6.81640625" bestFit="1" customWidth="1"/>
    <col min="3" max="4" width="8.1796875" bestFit="1" customWidth="1"/>
    <col min="5" max="5" width="7.36328125" bestFit="1" customWidth="1"/>
    <col min="7" max="7" width="16.08984375" customWidth="1"/>
    <col min="8" max="8" width="13.36328125" customWidth="1"/>
    <col min="9" max="9" width="13" customWidth="1"/>
    <col min="10" max="10" width="12.90625" customWidth="1"/>
    <col min="11" max="11" width="10.54296875" customWidth="1"/>
    <col min="12" max="12" width="13.08984375" customWidth="1"/>
    <col min="13" max="13" width="10.54296875" customWidth="1"/>
    <col min="14" max="14" width="11.1796875" customWidth="1"/>
    <col min="15" max="15" width="11.81640625" customWidth="1"/>
  </cols>
  <sheetData>
    <row r="1" spans="1:12" ht="24" customHeight="1" x14ac:dyDescent="0.35">
      <c r="A1" s="8" t="s">
        <v>1076</v>
      </c>
      <c r="B1" s="8" t="s">
        <v>1077</v>
      </c>
      <c r="C1" s="8" t="s">
        <v>1100</v>
      </c>
      <c r="D1" s="8" t="s">
        <v>1101</v>
      </c>
      <c r="E1" s="8" t="s">
        <v>1102</v>
      </c>
    </row>
    <row r="2" spans="1:12" ht="14" customHeight="1" x14ac:dyDescent="0.35">
      <c r="A2" s="6" t="s">
        <v>1080</v>
      </c>
      <c r="B2" s="6" t="s">
        <v>1081</v>
      </c>
      <c r="C2" s="6">
        <v>2</v>
      </c>
      <c r="D2" s="6">
        <v>1</v>
      </c>
      <c r="E2" s="6">
        <v>261.95999999999998</v>
      </c>
      <c r="G2" s="18" t="s">
        <v>1085</v>
      </c>
    </row>
    <row r="3" spans="1:12" ht="16" customHeight="1" thickBot="1" x14ac:dyDescent="0.4">
      <c r="A3" s="6" t="s">
        <v>1080</v>
      </c>
      <c r="B3" s="6" t="s">
        <v>1081</v>
      </c>
      <c r="C3" s="6">
        <v>3</v>
      </c>
      <c r="D3" s="6">
        <v>2</v>
      </c>
      <c r="E3" s="6">
        <v>731.94</v>
      </c>
    </row>
    <row r="4" spans="1:12" x14ac:dyDescent="0.35">
      <c r="A4" s="6" t="s">
        <v>1082</v>
      </c>
      <c r="B4" s="6" t="s">
        <v>584</v>
      </c>
      <c r="C4" s="6">
        <v>2</v>
      </c>
      <c r="D4" s="6">
        <v>0.3</v>
      </c>
      <c r="E4" s="6">
        <v>14.67</v>
      </c>
      <c r="G4" s="24" t="s">
        <v>1086</v>
      </c>
      <c r="H4" s="24"/>
    </row>
    <row r="5" spans="1:12" ht="17" customHeight="1" x14ac:dyDescent="0.35">
      <c r="A5" s="6" t="s">
        <v>1080</v>
      </c>
      <c r="B5" s="6" t="s">
        <v>1081</v>
      </c>
      <c r="C5" s="6">
        <v>5</v>
      </c>
      <c r="D5" s="6">
        <v>0.45</v>
      </c>
      <c r="E5" s="6">
        <v>957.57799999999997</v>
      </c>
      <c r="G5" s="21" t="s">
        <v>1087</v>
      </c>
      <c r="H5" s="21">
        <v>0.59561718864040003</v>
      </c>
    </row>
    <row r="6" spans="1:12" x14ac:dyDescent="0.35">
      <c r="A6" s="6" t="s">
        <v>1082</v>
      </c>
      <c r="B6" s="6" t="s">
        <v>1081</v>
      </c>
      <c r="C6" s="6">
        <v>2</v>
      </c>
      <c r="D6" s="6">
        <v>0.2</v>
      </c>
      <c r="E6" s="6">
        <v>22.367999999999999</v>
      </c>
      <c r="G6" s="21" t="s">
        <v>1088</v>
      </c>
      <c r="H6" s="21">
        <v>0.35475983540389383</v>
      </c>
    </row>
    <row r="7" spans="1:12" ht="17" customHeight="1" x14ac:dyDescent="0.35">
      <c r="A7" s="6" t="s">
        <v>1080</v>
      </c>
      <c r="B7" s="6" t="s">
        <v>584</v>
      </c>
      <c r="C7" s="6">
        <v>7</v>
      </c>
      <c r="D7" s="6">
        <v>0.6</v>
      </c>
      <c r="E7" s="6">
        <v>48.86</v>
      </c>
      <c r="G7" s="21" t="s">
        <v>1089</v>
      </c>
      <c r="H7" s="21">
        <v>0.24721980797120949</v>
      </c>
    </row>
    <row r="8" spans="1:12" x14ac:dyDescent="0.35">
      <c r="A8" s="6" t="s">
        <v>1082</v>
      </c>
      <c r="B8" s="6" t="s">
        <v>584</v>
      </c>
      <c r="C8" s="6">
        <v>4</v>
      </c>
      <c r="D8" s="6">
        <v>1</v>
      </c>
      <c r="E8" s="6">
        <v>7.28</v>
      </c>
      <c r="G8" s="21" t="s">
        <v>1024</v>
      </c>
      <c r="H8" s="21">
        <v>446.96688967125851</v>
      </c>
    </row>
    <row r="9" spans="1:12" ht="15" thickBot="1" x14ac:dyDescent="0.4">
      <c r="A9" s="6" t="s">
        <v>1083</v>
      </c>
      <c r="B9" s="6" t="s">
        <v>584</v>
      </c>
      <c r="C9" s="6">
        <v>6</v>
      </c>
      <c r="D9" s="6">
        <v>0.2</v>
      </c>
      <c r="E9" s="6">
        <v>907.15200000000004</v>
      </c>
      <c r="G9" s="22" t="s">
        <v>1039</v>
      </c>
      <c r="H9" s="22">
        <v>15</v>
      </c>
    </row>
    <row r="10" spans="1:12" x14ac:dyDescent="0.35">
      <c r="A10" s="6" t="s">
        <v>1082</v>
      </c>
      <c r="B10" s="6" t="s">
        <v>584</v>
      </c>
      <c r="C10" s="6">
        <v>3</v>
      </c>
      <c r="D10" s="6">
        <v>0.2</v>
      </c>
      <c r="E10" s="6">
        <v>18.504000000000001</v>
      </c>
    </row>
    <row r="11" spans="1:12" ht="15" thickBot="1" x14ac:dyDescent="0.4">
      <c r="A11" s="6" t="s">
        <v>1082</v>
      </c>
      <c r="B11" s="6" t="s">
        <v>584</v>
      </c>
      <c r="C11" s="6">
        <v>5</v>
      </c>
      <c r="D11" s="6">
        <v>0.8</v>
      </c>
      <c r="E11" s="6">
        <v>114.9</v>
      </c>
      <c r="G11" t="s">
        <v>1062</v>
      </c>
    </row>
    <row r="12" spans="1:12" ht="15" customHeight="1" x14ac:dyDescent="0.35">
      <c r="A12" s="6" t="s">
        <v>1080</v>
      </c>
      <c r="B12" s="6" t="s">
        <v>584</v>
      </c>
      <c r="C12" s="6">
        <v>9</v>
      </c>
      <c r="D12" s="6">
        <v>0.2</v>
      </c>
      <c r="E12" s="6">
        <v>1706.18</v>
      </c>
      <c r="G12" s="23"/>
      <c r="H12" s="23" t="s">
        <v>1050</v>
      </c>
      <c r="I12" s="23" t="s">
        <v>1064</v>
      </c>
      <c r="J12" s="23" t="s">
        <v>1065</v>
      </c>
      <c r="K12" s="23" t="s">
        <v>1066</v>
      </c>
      <c r="L12" s="23" t="s">
        <v>1093</v>
      </c>
    </row>
    <row r="13" spans="1:12" x14ac:dyDescent="0.35">
      <c r="A13" s="6" t="s">
        <v>1083</v>
      </c>
      <c r="B13" s="6" t="s">
        <v>584</v>
      </c>
      <c r="C13" s="6">
        <v>4</v>
      </c>
      <c r="D13" s="6">
        <v>0.2</v>
      </c>
      <c r="E13" s="6">
        <v>911.42399999999998</v>
      </c>
      <c r="G13" s="21" t="s">
        <v>1090</v>
      </c>
      <c r="H13" s="21">
        <v>2</v>
      </c>
      <c r="I13" s="21">
        <v>1318089.8111541453</v>
      </c>
      <c r="J13" s="21">
        <v>659044.90557707264</v>
      </c>
      <c r="K13" s="21">
        <v>3.2988631663308707</v>
      </c>
      <c r="L13" s="21">
        <v>7.2165289777997271E-2</v>
      </c>
    </row>
    <row r="14" spans="1:12" x14ac:dyDescent="0.35">
      <c r="A14" s="6" t="s">
        <v>1082</v>
      </c>
      <c r="B14" s="6" t="s">
        <v>1081</v>
      </c>
      <c r="C14" s="6">
        <v>3</v>
      </c>
      <c r="D14" s="6">
        <v>0.2</v>
      </c>
      <c r="E14" s="6">
        <v>15.552</v>
      </c>
      <c r="G14" s="21" t="s">
        <v>1091</v>
      </c>
      <c r="H14" s="21">
        <v>12</v>
      </c>
      <c r="I14" s="21">
        <v>2397352.805548788</v>
      </c>
      <c r="J14" s="21">
        <v>199779.400462399</v>
      </c>
      <c r="K14" s="21"/>
      <c r="L14" s="21"/>
    </row>
    <row r="15" spans="1:12" ht="15" thickBot="1" x14ac:dyDescent="0.4">
      <c r="A15" s="6" t="s">
        <v>1082</v>
      </c>
      <c r="B15" s="6" t="s">
        <v>584</v>
      </c>
      <c r="C15" s="6">
        <v>3</v>
      </c>
      <c r="D15" s="6">
        <v>0.2</v>
      </c>
      <c r="E15" s="6">
        <v>407.976</v>
      </c>
      <c r="G15" s="22" t="s">
        <v>1071</v>
      </c>
      <c r="H15" s="22">
        <v>14</v>
      </c>
      <c r="I15" s="22">
        <v>3715442.6167029333</v>
      </c>
      <c r="J15" s="22"/>
      <c r="K15" s="22"/>
      <c r="L15" s="22"/>
    </row>
    <row r="16" spans="1:12" ht="15" thickBot="1" x14ac:dyDescent="0.4">
      <c r="A16" s="6" t="s">
        <v>1082</v>
      </c>
      <c r="B16" s="6" t="s">
        <v>1084</v>
      </c>
      <c r="C16" s="6">
        <v>5</v>
      </c>
      <c r="D16" s="6">
        <v>0.8</v>
      </c>
      <c r="E16" s="6">
        <v>68.81</v>
      </c>
    </row>
    <row r="17" spans="7:15" x14ac:dyDescent="0.35">
      <c r="G17" s="23"/>
      <c r="H17" s="23" t="s">
        <v>1094</v>
      </c>
      <c r="I17" s="23" t="s">
        <v>1024</v>
      </c>
      <c r="J17" s="23" t="s">
        <v>1051</v>
      </c>
      <c r="K17" s="23" t="s">
        <v>1067</v>
      </c>
      <c r="L17" s="23" t="s">
        <v>1095</v>
      </c>
      <c r="M17" s="23" t="s">
        <v>1096</v>
      </c>
      <c r="N17" s="23" t="s">
        <v>1097</v>
      </c>
      <c r="O17" s="23" t="s">
        <v>1098</v>
      </c>
    </row>
    <row r="18" spans="7:15" x14ac:dyDescent="0.35">
      <c r="G18" s="21" t="s">
        <v>1092</v>
      </c>
      <c r="H18" s="21">
        <v>-229.60883986974579</v>
      </c>
      <c r="I18" s="21">
        <v>323.12080775361602</v>
      </c>
      <c r="J18" s="21">
        <v>-0.71059750520562459</v>
      </c>
      <c r="K18" s="21">
        <v>0.49091432814138225</v>
      </c>
      <c r="L18" s="21">
        <v>-933.62860133576248</v>
      </c>
      <c r="M18" s="21">
        <v>474.4109215962709</v>
      </c>
      <c r="N18" s="21">
        <v>-933.62860133576248</v>
      </c>
      <c r="O18" s="21">
        <v>474.4109215962709</v>
      </c>
    </row>
    <row r="19" spans="7:15" x14ac:dyDescent="0.35">
      <c r="G19" s="21" t="s">
        <v>1099</v>
      </c>
      <c r="H19" s="21">
        <v>152.90148804422148</v>
      </c>
      <c r="I19" s="21">
        <v>60.129656285644458</v>
      </c>
      <c r="J19" s="21">
        <v>2.5428631641908397</v>
      </c>
      <c r="K19" s="21">
        <v>2.5802116328728902E-2</v>
      </c>
      <c r="L19" s="21">
        <v>21.890221485578621</v>
      </c>
      <c r="M19" s="21">
        <v>283.91275460286431</v>
      </c>
      <c r="N19" s="21">
        <v>21.890221485578621</v>
      </c>
      <c r="O19" s="21">
        <v>283.91275460286431</v>
      </c>
    </row>
    <row r="20" spans="7:15" ht="15" thickBot="1" x14ac:dyDescent="0.4">
      <c r="G20" s="22" t="s">
        <v>1103</v>
      </c>
      <c r="H20" s="22">
        <v>0.77758697727322768</v>
      </c>
      <c r="I20" s="22">
        <v>239.18785121373512</v>
      </c>
      <c r="J20" s="22">
        <v>3.250946790681213E-3</v>
      </c>
      <c r="K20" s="22">
        <v>0.99745954399177317</v>
      </c>
      <c r="L20" s="22">
        <v>-520.36797194774897</v>
      </c>
      <c r="M20" s="22">
        <v>521.92314590229546</v>
      </c>
      <c r="N20" s="22">
        <v>-520.36797194774897</v>
      </c>
      <c r="O20" s="22">
        <v>521.92314590229546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590FC7B-42E4-435E-BD31-C56BBA0C7F3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EX 1</vt:lpstr>
      <vt:lpstr>EX 2A</vt:lpstr>
      <vt:lpstr>EX 2B</vt:lpstr>
      <vt:lpstr>EX 3</vt:lpstr>
      <vt:lpstr>EX 4A</vt:lpstr>
      <vt:lpstr>EX 4B</vt:lpstr>
      <vt:lpstr>EX 4C</vt:lpstr>
      <vt:lpstr>EX 5</vt:lpstr>
      <vt:lpstr>EX 6</vt:lpstr>
      <vt:lpstr>EX 7A</vt:lpstr>
      <vt:lpstr>EX 7B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ksruthi3001@outlook.com</dc:creator>
  <cp:lastModifiedBy>ksruthi3001@outlook.com</cp:lastModifiedBy>
  <dcterms:created xsi:type="dcterms:W3CDTF">2026-07-04T10:40:00Z</dcterms:created>
  <dcterms:modified xsi:type="dcterms:W3CDTF">2026-08-03T11:20:18Z</dcterms:modified>
</cp:coreProperties>
</file>